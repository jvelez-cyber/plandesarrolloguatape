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8C67B29-1F5A-4DD8-9C0D-EBF5FF557A65}" xr6:coauthVersionLast="47" xr6:coauthVersionMax="47" xr10:uidLastSave="{00000000-0000-0000-0000-000000000000}"/>
  <bookViews>
    <workbookView xWindow="11745" yWindow="1080" windowWidth="15420" windowHeight="14280" xr2:uid="{207361D5-FF66-4941-972A-4210181FE5A3}"/>
  </bookViews>
  <sheets>
    <sheet name="SEC. GOBIERNO" sheetId="1" r:id="rId1"/>
    <sheet name="SEC. BIENESTAR Y DLLO SOCIAL" sheetId="2" r:id="rId2"/>
    <sheet name="SEC. TURISMO Y DLLO ECONOMICO" sheetId="3" r:id="rId3"/>
    <sheet name="SEC. PLANEACION Y OBRAS PUBLICA" sheetId="4" r:id="rId4"/>
    <sheet name="SEC. MEDIO AMBIENTE Y DLLO RURA" sheetId="5" r:id="rId5"/>
    <sheet name="CONSOLIDADO AVANCE A LA FECHA " sheetId="6" r:id="rId6"/>
  </sheets>
  <definedNames>
    <definedName name="_xlnm._FilterDatabase" localSheetId="0" hidden="1">'SEC. GOBIERNO'!$F$1:$F$33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K3" i="1"/>
  <c r="Z3" i="1"/>
  <c r="S3" i="1" l="1"/>
  <c r="T3" i="1"/>
  <c r="B8" i="6" l="1"/>
  <c r="Z33" i="2"/>
  <c r="AA33" i="2" s="1"/>
  <c r="Y33" i="2"/>
  <c r="X33" i="2"/>
  <c r="U33" i="2"/>
  <c r="T33" i="2"/>
  <c r="Q33" i="2"/>
  <c r="P33" i="2"/>
  <c r="M33" i="2"/>
  <c r="L33" i="2"/>
  <c r="Z32" i="2"/>
  <c r="AA32" i="2" s="1"/>
  <c r="Y32" i="2"/>
  <c r="X32" i="2"/>
  <c r="U32" i="2"/>
  <c r="T32" i="2"/>
  <c r="Q32" i="2"/>
  <c r="P32" i="2"/>
  <c r="M32" i="2"/>
  <c r="L32" i="2"/>
  <c r="Z31" i="2"/>
  <c r="AA31" i="2" s="1"/>
  <c r="Y31" i="2"/>
  <c r="X31" i="2"/>
  <c r="U31" i="2"/>
  <c r="T31" i="2"/>
  <c r="Q31" i="2"/>
  <c r="P31" i="2"/>
  <c r="M31" i="2"/>
  <c r="L31" i="2"/>
  <c r="Z30" i="2"/>
  <c r="AA30" i="2" s="1"/>
  <c r="Y30" i="2"/>
  <c r="X30" i="2"/>
  <c r="U30" i="2"/>
  <c r="Q30" i="2"/>
  <c r="M30" i="2"/>
  <c r="Z29" i="2"/>
  <c r="AA29" i="2" s="1"/>
  <c r="Y29" i="2"/>
  <c r="X29" i="2"/>
  <c r="U29" i="2"/>
  <c r="T29" i="2"/>
  <c r="Q29" i="2"/>
  <c r="P29" i="2"/>
  <c r="M29" i="2"/>
  <c r="L29" i="2"/>
  <c r="Z28" i="2"/>
  <c r="AA28" i="2" s="1"/>
  <c r="Y28" i="2"/>
  <c r="X28" i="2"/>
  <c r="U28" i="2"/>
  <c r="T28" i="2"/>
  <c r="Q28" i="2"/>
  <c r="P28" i="2"/>
  <c r="M28" i="2"/>
  <c r="L28" i="2"/>
  <c r="Z27" i="2"/>
  <c r="AA27" i="2" s="1"/>
  <c r="Y27" i="2"/>
  <c r="X27" i="2"/>
  <c r="U27" i="2"/>
  <c r="T27" i="2"/>
  <c r="Q27" i="2"/>
  <c r="P27" i="2"/>
  <c r="M27" i="2"/>
  <c r="L27" i="2"/>
  <c r="Z26" i="2"/>
  <c r="AA26" i="2" s="1"/>
  <c r="Y26" i="2"/>
  <c r="X26" i="2"/>
  <c r="U26" i="2"/>
  <c r="T26" i="2"/>
  <c r="Q26" i="2"/>
  <c r="P26" i="2"/>
  <c r="M26" i="2"/>
  <c r="L26" i="2"/>
  <c r="Z25" i="2"/>
  <c r="AA25" i="2" s="1"/>
  <c r="Y25" i="2"/>
  <c r="X25" i="2"/>
  <c r="U25" i="2"/>
  <c r="T25" i="2"/>
  <c r="Q25" i="2"/>
  <c r="P25" i="2"/>
  <c r="M25" i="2"/>
  <c r="L25" i="2"/>
  <c r="Z24" i="2"/>
  <c r="AA24" i="2" s="1"/>
  <c r="Y24" i="2"/>
  <c r="X24" i="2"/>
  <c r="U24" i="2"/>
  <c r="T24" i="2"/>
  <c r="Q24" i="2"/>
  <c r="P24" i="2"/>
  <c r="M24" i="2"/>
  <c r="L24" i="2"/>
  <c r="Z23" i="2"/>
  <c r="AA23" i="2" s="1"/>
  <c r="Y23" i="2"/>
  <c r="U23" i="2"/>
  <c r="T23" i="2"/>
  <c r="Q23" i="2"/>
  <c r="P23" i="2"/>
  <c r="M23" i="2"/>
  <c r="Z22" i="2"/>
  <c r="AA22" i="2" s="1"/>
  <c r="Y22" i="2"/>
  <c r="X22" i="2"/>
  <c r="U22" i="2"/>
  <c r="T22" i="2"/>
  <c r="Q22" i="2"/>
  <c r="P22" i="2"/>
  <c r="M22" i="2"/>
  <c r="L22" i="2"/>
  <c r="Z21" i="2"/>
  <c r="AA21" i="2" s="1"/>
  <c r="Y21" i="2"/>
  <c r="X21" i="2"/>
  <c r="U21" i="2"/>
  <c r="T21" i="2"/>
  <c r="Q21" i="2"/>
  <c r="P21" i="2"/>
  <c r="M21" i="2"/>
  <c r="L21" i="2"/>
  <c r="Z20" i="2"/>
  <c r="AA20" i="2" s="1"/>
  <c r="Y20" i="2"/>
  <c r="X20" i="2"/>
  <c r="U20" i="2"/>
  <c r="T20" i="2"/>
  <c r="Q20" i="2"/>
  <c r="P20" i="2"/>
  <c r="M20" i="2"/>
  <c r="L20" i="2"/>
  <c r="Z19" i="2"/>
  <c r="AA19" i="2" s="1"/>
  <c r="Y19" i="2"/>
  <c r="X19" i="2"/>
  <c r="U19" i="2"/>
  <c r="T19" i="2"/>
  <c r="Q19" i="2"/>
  <c r="P19" i="2"/>
  <c r="M19" i="2"/>
  <c r="L19" i="2"/>
  <c r="Z18" i="2"/>
  <c r="AA18" i="2" s="1"/>
  <c r="Y18" i="2"/>
  <c r="X18" i="2"/>
  <c r="U18" i="2"/>
  <c r="T18" i="2"/>
  <c r="Q18" i="2"/>
  <c r="P18" i="2"/>
  <c r="M18" i="2"/>
  <c r="L18" i="2"/>
  <c r="AA17" i="2"/>
  <c r="Z17" i="2"/>
  <c r="Y17" i="2"/>
  <c r="X17" i="2"/>
  <c r="U17" i="2"/>
  <c r="T17" i="2"/>
  <c r="Q17" i="2"/>
  <c r="P17" i="2"/>
  <c r="M17" i="2"/>
  <c r="L17" i="2"/>
  <c r="Z16" i="2"/>
  <c r="AA16" i="2" s="1"/>
  <c r="Y16" i="2"/>
  <c r="X16" i="2"/>
  <c r="U16" i="2"/>
  <c r="T16" i="2"/>
  <c r="Q16" i="2"/>
  <c r="P16" i="2"/>
  <c r="M16" i="2"/>
  <c r="L16" i="2"/>
  <c r="Z15" i="2"/>
  <c r="AA15" i="2" s="1"/>
  <c r="Y15" i="2"/>
  <c r="X15" i="2"/>
  <c r="U15" i="2"/>
  <c r="T15" i="2"/>
  <c r="Q15" i="2"/>
  <c r="P15" i="2"/>
  <c r="M15" i="2"/>
  <c r="L15" i="2"/>
  <c r="Z14" i="2"/>
  <c r="AA14" i="2" s="1"/>
  <c r="Y14" i="2"/>
  <c r="X14" i="2"/>
  <c r="U14" i="2"/>
  <c r="T14" i="2"/>
  <c r="Q14" i="2"/>
  <c r="P14" i="2"/>
  <c r="M14" i="2"/>
  <c r="L14" i="2"/>
  <c r="Z13" i="2"/>
  <c r="AA13" i="2" s="1"/>
  <c r="Y13" i="2"/>
  <c r="U13" i="2"/>
  <c r="Q13" i="2"/>
  <c r="P13" i="2"/>
  <c r="M13" i="2"/>
  <c r="L13" i="2"/>
  <c r="Z12" i="2"/>
  <c r="AA12" i="2" s="1"/>
  <c r="Y12" i="2"/>
  <c r="X12" i="2"/>
  <c r="U12" i="2"/>
  <c r="T12" i="2"/>
  <c r="Q12" i="2"/>
  <c r="P12" i="2"/>
  <c r="M12" i="2"/>
  <c r="L12" i="2"/>
  <c r="Z11" i="2"/>
  <c r="AA11" i="2" s="1"/>
  <c r="Y11" i="2"/>
  <c r="X11" i="2"/>
  <c r="U11" i="2"/>
  <c r="T11" i="2"/>
  <c r="Q11" i="2"/>
  <c r="P11" i="2"/>
  <c r="M11" i="2"/>
  <c r="L11" i="2"/>
  <c r="Z10" i="2"/>
  <c r="AA10" i="2" s="1"/>
  <c r="Y10" i="2"/>
  <c r="X10" i="2"/>
  <c r="U10" i="2"/>
  <c r="T10" i="2"/>
  <c r="M10" i="2"/>
  <c r="Z9" i="2"/>
  <c r="AA9" i="2" s="1"/>
  <c r="Y9" i="2"/>
  <c r="X9" i="2"/>
  <c r="U9" i="2"/>
  <c r="T9" i="2"/>
  <c r="Q9" i="2"/>
  <c r="P9" i="2"/>
  <c r="M9" i="2"/>
  <c r="L9" i="2"/>
  <c r="Z8" i="2"/>
  <c r="AA8" i="2" s="1"/>
  <c r="Y8" i="2"/>
  <c r="X8" i="2"/>
  <c r="U8" i="2"/>
  <c r="T8" i="2"/>
  <c r="Q8" i="2"/>
  <c r="P8" i="2"/>
  <c r="M8" i="2"/>
  <c r="L8" i="2"/>
  <c r="Z7" i="2"/>
  <c r="AA7" i="2" s="1"/>
  <c r="Y7" i="2"/>
  <c r="X7" i="2"/>
  <c r="U7" i="2"/>
  <c r="T7" i="2"/>
  <c r="Q7" i="2"/>
  <c r="P7" i="2"/>
  <c r="M7" i="2"/>
  <c r="L7" i="2"/>
  <c r="Z6" i="2"/>
  <c r="AA6" i="2" s="1"/>
  <c r="Y6" i="2"/>
  <c r="X6" i="2"/>
  <c r="U6" i="2"/>
  <c r="T6" i="2"/>
  <c r="Q6" i="2"/>
  <c r="P6" i="2"/>
  <c r="M6" i="2"/>
  <c r="L6" i="2"/>
  <c r="Z5" i="2"/>
  <c r="AA5" i="2" s="1"/>
  <c r="Y5" i="2"/>
  <c r="X5" i="2"/>
  <c r="U5" i="2"/>
  <c r="T5" i="2"/>
  <c r="Q5" i="2"/>
  <c r="P5" i="2"/>
  <c r="M5" i="2"/>
  <c r="L5" i="2"/>
  <c r="Z4" i="2"/>
  <c r="AA4" i="2" s="1"/>
  <c r="Y4" i="2"/>
  <c r="X4" i="2"/>
  <c r="U4" i="2"/>
  <c r="T4" i="2"/>
  <c r="Q4" i="2"/>
  <c r="P4" i="2"/>
  <c r="M4" i="2"/>
  <c r="L4" i="2"/>
  <c r="Z3" i="2"/>
  <c r="AA3" i="2" s="1"/>
  <c r="Y3" i="2"/>
  <c r="X3" i="2"/>
  <c r="U3" i="2"/>
  <c r="T3" i="2"/>
  <c r="Q3" i="2"/>
  <c r="P3" i="2"/>
  <c r="M3" i="2"/>
  <c r="L3" i="2"/>
  <c r="Y21" i="5"/>
  <c r="Z21" i="5" s="1"/>
  <c r="X21" i="5"/>
  <c r="W21" i="5"/>
  <c r="T21" i="5"/>
  <c r="S21" i="5"/>
  <c r="P21" i="5"/>
  <c r="O21" i="5"/>
  <c r="L21" i="5"/>
  <c r="K21" i="5"/>
  <c r="Y20" i="5"/>
  <c r="Z20" i="5" s="1"/>
  <c r="X20" i="5"/>
  <c r="W20" i="5"/>
  <c r="T20" i="5"/>
  <c r="S20" i="5"/>
  <c r="P20" i="5"/>
  <c r="O20" i="5"/>
  <c r="L20" i="5"/>
  <c r="K20" i="5"/>
  <c r="Y19" i="5"/>
  <c r="Z19" i="5" s="1"/>
  <c r="X19" i="5"/>
  <c r="W19" i="5"/>
  <c r="T19" i="5"/>
  <c r="S19" i="5"/>
  <c r="P19" i="5"/>
  <c r="O19" i="5"/>
  <c r="L19" i="5"/>
  <c r="K19" i="5"/>
  <c r="Y18" i="5"/>
  <c r="Z18" i="5" s="1"/>
  <c r="X18" i="5"/>
  <c r="W18" i="5"/>
  <c r="T18" i="5"/>
  <c r="S18" i="5"/>
  <c r="P18" i="5"/>
  <c r="O18" i="5"/>
  <c r="L18" i="5"/>
  <c r="K18" i="5"/>
  <c r="Y17" i="5"/>
  <c r="Z17" i="5" s="1"/>
  <c r="X17" i="5"/>
  <c r="W17" i="5"/>
  <c r="T17" i="5"/>
  <c r="S17" i="5"/>
  <c r="P17" i="5"/>
  <c r="O17" i="5"/>
  <c r="L17" i="5"/>
  <c r="K17" i="5"/>
  <c r="Y16" i="5"/>
  <c r="Z16" i="5" s="1"/>
  <c r="X16" i="5"/>
  <c r="W16" i="5"/>
  <c r="T16" i="5"/>
  <c r="S16" i="5"/>
  <c r="P16" i="5"/>
  <c r="O16" i="5"/>
  <c r="L16" i="5"/>
  <c r="Y15" i="5"/>
  <c r="Z15" i="5" s="1"/>
  <c r="X15" i="5"/>
  <c r="W15" i="5"/>
  <c r="T15" i="5"/>
  <c r="S15" i="5"/>
  <c r="P15" i="5"/>
  <c r="O15" i="5"/>
  <c r="L15" i="5"/>
  <c r="K15" i="5"/>
  <c r="Y14" i="5"/>
  <c r="Z14" i="5" s="1"/>
  <c r="X14" i="5"/>
  <c r="W14" i="5"/>
  <c r="T14" i="5"/>
  <c r="S14" i="5"/>
  <c r="P14" i="5"/>
  <c r="O14" i="5"/>
  <c r="L14" i="5"/>
  <c r="K14" i="5"/>
  <c r="Y13" i="5"/>
  <c r="Z13" i="5" s="1"/>
  <c r="X13" i="5"/>
  <c r="T13" i="5"/>
  <c r="P13" i="5"/>
  <c r="L13" i="5"/>
  <c r="K13" i="5"/>
  <c r="Y12" i="5"/>
  <c r="Z12" i="5" s="1"/>
  <c r="X12" i="5"/>
  <c r="W12" i="5"/>
  <c r="T12" i="5"/>
  <c r="S12" i="5"/>
  <c r="P12" i="5"/>
  <c r="O12" i="5"/>
  <c r="L12" i="5"/>
  <c r="K12" i="5"/>
  <c r="Z11" i="5"/>
  <c r="Y11" i="5"/>
  <c r="X11" i="5"/>
  <c r="W11" i="5"/>
  <c r="T11" i="5"/>
  <c r="S11" i="5"/>
  <c r="P11" i="5"/>
  <c r="O11" i="5"/>
  <c r="L11" i="5"/>
  <c r="Y10" i="5"/>
  <c r="Z10" i="5" s="1"/>
  <c r="X10" i="5"/>
  <c r="W10" i="5"/>
  <c r="T10" i="5"/>
  <c r="P10" i="5"/>
  <c r="L10" i="5"/>
  <c r="Y9" i="5"/>
  <c r="Z9" i="5" s="1"/>
  <c r="X9" i="5"/>
  <c r="W9" i="5"/>
  <c r="T9" i="5"/>
  <c r="S9" i="5"/>
  <c r="L9" i="5"/>
  <c r="Y8" i="5"/>
  <c r="Z8" i="5" s="1"/>
  <c r="X8" i="5"/>
  <c r="W8" i="5"/>
  <c r="T8" i="5"/>
  <c r="S8" i="5"/>
  <c r="P8" i="5"/>
  <c r="O8" i="5"/>
  <c r="L8" i="5"/>
  <c r="K8" i="5"/>
  <c r="Y7" i="5"/>
  <c r="Z7" i="5" s="1"/>
  <c r="X7" i="5"/>
  <c r="W7" i="5"/>
  <c r="T7" i="5"/>
  <c r="S7" i="5"/>
  <c r="P7" i="5"/>
  <c r="O7" i="5"/>
  <c r="L7" i="5"/>
  <c r="K7" i="5"/>
  <c r="Y6" i="5"/>
  <c r="Z6" i="5" s="1"/>
  <c r="X6" i="5"/>
  <c r="W6" i="5"/>
  <c r="T6" i="5"/>
  <c r="S6" i="5"/>
  <c r="P6" i="5"/>
  <c r="O6" i="5"/>
  <c r="L6" i="5"/>
  <c r="K6" i="5"/>
  <c r="Y5" i="5"/>
  <c r="Z5" i="5" s="1"/>
  <c r="X5" i="5"/>
  <c r="T5" i="5"/>
  <c r="S5" i="5"/>
  <c r="P5" i="5"/>
  <c r="O5" i="5"/>
  <c r="L5" i="5"/>
  <c r="Y4" i="5"/>
  <c r="Z4" i="5" s="1"/>
  <c r="X4" i="5"/>
  <c r="W4" i="5"/>
  <c r="T4" i="5"/>
  <c r="P4" i="5"/>
  <c r="L4" i="5"/>
  <c r="Y3" i="5"/>
  <c r="Z3" i="5" s="1"/>
  <c r="X3" i="5"/>
  <c r="W3" i="5"/>
  <c r="T3" i="5"/>
  <c r="S3" i="5"/>
  <c r="P3" i="5"/>
  <c r="O3" i="5"/>
  <c r="L3" i="5"/>
  <c r="K3" i="5"/>
  <c r="K22" i="5" s="1"/>
  <c r="Y13" i="4"/>
  <c r="Z13" i="4" s="1"/>
  <c r="X13" i="4"/>
  <c r="W13" i="4"/>
  <c r="T13" i="4"/>
  <c r="S13" i="4"/>
  <c r="P13" i="4"/>
  <c r="O13" i="4"/>
  <c r="L13" i="4"/>
  <c r="K13" i="4"/>
  <c r="Y12" i="4"/>
  <c r="Z12" i="4" s="1"/>
  <c r="X12" i="4"/>
  <c r="W12" i="4"/>
  <c r="T12" i="4"/>
  <c r="S12" i="4"/>
  <c r="P12" i="4"/>
  <c r="O12" i="4"/>
  <c r="L12" i="4"/>
  <c r="K12" i="4"/>
  <c r="Y11" i="4"/>
  <c r="Z11" i="4" s="1"/>
  <c r="X11" i="4"/>
  <c r="W11" i="4"/>
  <c r="T11" i="4"/>
  <c r="S11" i="4"/>
  <c r="P11" i="4"/>
  <c r="O11" i="4"/>
  <c r="L11" i="4"/>
  <c r="K11" i="4"/>
  <c r="Y10" i="4"/>
  <c r="Z10" i="4" s="1"/>
  <c r="X10" i="4"/>
  <c r="W10" i="4"/>
  <c r="T10" i="4"/>
  <c r="P10" i="4"/>
  <c r="L10" i="4"/>
  <c r="K10" i="4"/>
  <c r="Y9" i="4"/>
  <c r="Z9" i="4" s="1"/>
  <c r="X9" i="4"/>
  <c r="W9" i="4"/>
  <c r="T9" i="4"/>
  <c r="S9" i="4"/>
  <c r="P9" i="4"/>
  <c r="O9" i="4"/>
  <c r="L9" i="4"/>
  <c r="K9" i="4"/>
  <c r="Y8" i="4"/>
  <c r="Z8" i="4" s="1"/>
  <c r="X8" i="4"/>
  <c r="W8" i="4"/>
  <c r="T8" i="4"/>
  <c r="S8" i="4"/>
  <c r="P8" i="4"/>
  <c r="O8" i="4"/>
  <c r="L8" i="4"/>
  <c r="K8" i="4"/>
  <c r="Y7" i="4"/>
  <c r="Z7" i="4" s="1"/>
  <c r="X7" i="4"/>
  <c r="W7" i="4"/>
  <c r="T7" i="4"/>
  <c r="S7" i="4"/>
  <c r="P7" i="4"/>
  <c r="O7" i="4"/>
  <c r="L7" i="4"/>
  <c r="K7" i="4"/>
  <c r="Y6" i="4"/>
  <c r="Z6" i="4" s="1"/>
  <c r="X6" i="4"/>
  <c r="W6" i="4"/>
  <c r="T6" i="4"/>
  <c r="S6" i="4"/>
  <c r="P6" i="4"/>
  <c r="O6" i="4"/>
  <c r="L6" i="4"/>
  <c r="K6" i="4"/>
  <c r="Y5" i="4"/>
  <c r="Z5" i="4" s="1"/>
  <c r="X5" i="4"/>
  <c r="W5" i="4"/>
  <c r="T5" i="4"/>
  <c r="S5" i="4"/>
  <c r="P5" i="4"/>
  <c r="O5" i="4"/>
  <c r="L5" i="4"/>
  <c r="K5" i="4"/>
  <c r="Y4" i="4"/>
  <c r="Z4" i="4" s="1"/>
  <c r="X4" i="4"/>
  <c r="W4" i="4"/>
  <c r="T4" i="4"/>
  <c r="S4" i="4"/>
  <c r="P4" i="4"/>
  <c r="O4" i="4"/>
  <c r="L4" i="4"/>
  <c r="K4" i="4"/>
  <c r="Y3" i="4"/>
  <c r="Z3" i="4" s="1"/>
  <c r="X3" i="4"/>
  <c r="T3" i="4"/>
  <c r="P3" i="4"/>
  <c r="O3" i="4"/>
  <c r="L3" i="4"/>
  <c r="Y9" i="3"/>
  <c r="Z9" i="3" s="1"/>
  <c r="X9" i="3"/>
  <c r="W9" i="3"/>
  <c r="T9" i="3"/>
  <c r="S9" i="3"/>
  <c r="P9" i="3"/>
  <c r="O9" i="3"/>
  <c r="L9" i="3"/>
  <c r="K9" i="3"/>
  <c r="Y8" i="3"/>
  <c r="Z8" i="3" s="1"/>
  <c r="X8" i="3"/>
  <c r="W8" i="3"/>
  <c r="T8" i="3"/>
  <c r="S8" i="3"/>
  <c r="P8" i="3"/>
  <c r="O8" i="3"/>
  <c r="L8" i="3"/>
  <c r="K8" i="3"/>
  <c r="Y7" i="3"/>
  <c r="Z7" i="3" s="1"/>
  <c r="X7" i="3"/>
  <c r="W7" i="3"/>
  <c r="T7" i="3"/>
  <c r="S7" i="3"/>
  <c r="P7" i="3"/>
  <c r="O7" i="3"/>
  <c r="L7" i="3"/>
  <c r="K7" i="3"/>
  <c r="Y6" i="3"/>
  <c r="Z6" i="3" s="1"/>
  <c r="X6" i="3"/>
  <c r="W6" i="3"/>
  <c r="T6" i="3"/>
  <c r="S6" i="3"/>
  <c r="P6" i="3"/>
  <c r="O6" i="3"/>
  <c r="L6" i="3"/>
  <c r="K6" i="3"/>
  <c r="Y5" i="3"/>
  <c r="Z5" i="3" s="1"/>
  <c r="X5" i="3"/>
  <c r="W5" i="3"/>
  <c r="T5" i="3"/>
  <c r="S5" i="3"/>
  <c r="P5" i="3"/>
  <c r="O5" i="3"/>
  <c r="L5" i="3"/>
  <c r="K5" i="3"/>
  <c r="Y4" i="3"/>
  <c r="Z4" i="3" s="1"/>
  <c r="X4" i="3"/>
  <c r="T4" i="3"/>
  <c r="S4" i="3"/>
  <c r="P4" i="3"/>
  <c r="O4" i="3"/>
  <c r="L4" i="3"/>
  <c r="Y3" i="3"/>
  <c r="Z3" i="3" s="1"/>
  <c r="X3" i="3"/>
  <c r="W3" i="3"/>
  <c r="W10" i="3" s="1"/>
  <c r="T3" i="3"/>
  <c r="S3" i="3"/>
  <c r="P3" i="3"/>
  <c r="O3" i="3"/>
  <c r="L3" i="3"/>
  <c r="K3" i="3"/>
  <c r="Z22" i="5" l="1"/>
  <c r="AC4" i="5" s="1"/>
  <c r="C7" i="6" s="1"/>
  <c r="S22" i="5"/>
  <c r="W22" i="5"/>
  <c r="O22" i="5"/>
  <c r="S14" i="4"/>
  <c r="W14" i="4"/>
  <c r="K10" i="3"/>
  <c r="S10" i="3"/>
  <c r="K14" i="4"/>
  <c r="O14" i="4"/>
  <c r="T34" i="2"/>
  <c r="L34" i="2"/>
  <c r="X34" i="2"/>
  <c r="P34" i="2"/>
  <c r="AA34" i="2"/>
  <c r="AD4" i="2" s="1"/>
  <c r="C4" i="6" s="1"/>
  <c r="Q34" i="2"/>
  <c r="Y34" i="2"/>
  <c r="M34" i="2"/>
  <c r="O10" i="3"/>
  <c r="X22" i="5"/>
  <c r="P22" i="5"/>
  <c r="P14" i="4"/>
  <c r="X14" i="4"/>
  <c r="Z14" i="4"/>
  <c r="AC4" i="4" s="1"/>
  <c r="C6" i="6" s="1"/>
  <c r="P10" i="3"/>
  <c r="Z10" i="3"/>
  <c r="AC4" i="3" s="1"/>
  <c r="C5" i="6" s="1"/>
  <c r="X10" i="3"/>
  <c r="T4" i="1"/>
  <c r="U34" i="2" l="1"/>
  <c r="L22" i="5"/>
  <c r="T22" i="5"/>
  <c r="T14" i="4"/>
  <c r="L14" i="4"/>
  <c r="T10" i="3"/>
  <c r="L10" i="3"/>
  <c r="W4" i="1"/>
  <c r="X4" i="1"/>
  <c r="W5" i="1"/>
  <c r="W6" i="1"/>
  <c r="W7" i="1"/>
  <c r="W8" i="1"/>
  <c r="W10" i="1"/>
  <c r="W11" i="1"/>
  <c r="W12" i="1"/>
  <c r="W13" i="1"/>
  <c r="W14" i="1"/>
  <c r="W15" i="1"/>
  <c r="W16" i="1"/>
  <c r="W18" i="1"/>
  <c r="W20" i="1"/>
  <c r="W21" i="1"/>
  <c r="W22" i="1"/>
  <c r="W23" i="1"/>
  <c r="W24" i="1"/>
  <c r="W25" i="1"/>
  <c r="W26" i="1"/>
  <c r="W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8" i="1"/>
  <c r="S20" i="1"/>
  <c r="S21" i="1"/>
  <c r="S22" i="1"/>
  <c r="S23" i="1"/>
  <c r="S24" i="1"/>
  <c r="S25" i="1"/>
  <c r="S26" i="1"/>
  <c r="W28" i="1" l="1"/>
  <c r="S28" i="1"/>
  <c r="O17" i="1" l="1"/>
  <c r="O16" i="1"/>
  <c r="X26" i="1" l="1"/>
  <c r="Y26" i="1"/>
  <c r="O26" i="1"/>
  <c r="X27" i="1"/>
  <c r="Y27" i="1"/>
  <c r="O27" i="1"/>
  <c r="O25" i="1"/>
  <c r="O24" i="1"/>
  <c r="O23" i="1"/>
  <c r="Y25" i="1"/>
  <c r="Y24" i="1"/>
  <c r="Y23" i="1"/>
  <c r="X25" i="1"/>
  <c r="X24" i="1"/>
  <c r="X23" i="1"/>
  <c r="Y22" i="1"/>
  <c r="O22" i="1"/>
  <c r="X22" i="1"/>
  <c r="O3" i="1"/>
  <c r="Y4" i="1"/>
  <c r="O4" i="1"/>
  <c r="Y5" i="1"/>
  <c r="O5" i="1"/>
  <c r="Y6" i="1"/>
  <c r="O6" i="1"/>
  <c r="Y7" i="1"/>
  <c r="O7" i="1"/>
  <c r="Y8" i="1"/>
  <c r="O8" i="1"/>
  <c r="Y9" i="1"/>
  <c r="O9" i="1"/>
  <c r="Y10" i="1"/>
  <c r="O10" i="1"/>
  <c r="Y11" i="1"/>
  <c r="O11" i="1"/>
  <c r="Y12" i="1"/>
  <c r="O12" i="1"/>
  <c r="Y13" i="1"/>
  <c r="O13" i="1"/>
  <c r="Y14" i="1"/>
  <c r="O14" i="1"/>
  <c r="Y15" i="1"/>
  <c r="O15" i="1"/>
  <c r="Y16" i="1"/>
  <c r="Y17" i="1"/>
  <c r="Y18" i="1"/>
  <c r="Y19" i="1"/>
  <c r="O19" i="1"/>
  <c r="Y20" i="1"/>
  <c r="O20" i="1"/>
  <c r="Y21" i="1"/>
  <c r="O21" i="1"/>
  <c r="X21" i="1"/>
  <c r="X20" i="1"/>
  <c r="X19" i="1"/>
  <c r="X16" i="1"/>
  <c r="X15" i="1"/>
  <c r="X14" i="1"/>
  <c r="X13" i="1"/>
  <c r="X12" i="1"/>
  <c r="X11" i="1"/>
  <c r="X10" i="1"/>
  <c r="X9" i="1"/>
  <c r="X8" i="1"/>
  <c r="X7" i="1"/>
  <c r="X6" i="1"/>
  <c r="O28" i="1" l="1"/>
  <c r="T18" i="1"/>
  <c r="X18" i="1"/>
  <c r="T17" i="1"/>
  <c r="X17" i="1"/>
  <c r="P13" i="1"/>
  <c r="T13" i="1"/>
  <c r="P24" i="1"/>
  <c r="T24" i="1"/>
  <c r="P7" i="1"/>
  <c r="T7" i="1"/>
  <c r="P15" i="1"/>
  <c r="T15" i="1"/>
  <c r="P21" i="1"/>
  <c r="T21" i="1"/>
  <c r="P27" i="1"/>
  <c r="T27" i="1"/>
  <c r="P19" i="1"/>
  <c r="T19" i="1"/>
  <c r="P14" i="1"/>
  <c r="T14" i="1"/>
  <c r="P20" i="1"/>
  <c r="T20" i="1"/>
  <c r="P25" i="1"/>
  <c r="T25" i="1"/>
  <c r="P8" i="1"/>
  <c r="T8" i="1"/>
  <c r="P10" i="1"/>
  <c r="T10" i="1"/>
  <c r="P9" i="1"/>
  <c r="T9" i="1"/>
  <c r="P11" i="1"/>
  <c r="T11" i="1"/>
  <c r="P22" i="1"/>
  <c r="T22" i="1"/>
  <c r="P6" i="1"/>
  <c r="T6" i="1"/>
  <c r="P16" i="1"/>
  <c r="T16" i="1"/>
  <c r="P12" i="1"/>
  <c r="T12" i="1"/>
  <c r="P23" i="1"/>
  <c r="T23" i="1"/>
  <c r="P26" i="1"/>
  <c r="T26" i="1"/>
  <c r="Z27" i="1"/>
  <c r="Z19" i="1"/>
  <c r="Z16" i="1"/>
  <c r="Z13" i="1"/>
  <c r="Z10" i="1"/>
  <c r="Z8" i="1"/>
  <c r="Z22" i="1"/>
  <c r="Z25" i="1"/>
  <c r="Z7" i="1"/>
  <c r="Z26" i="1"/>
  <c r="Z21" i="1"/>
  <c r="Z18" i="1"/>
  <c r="Z15" i="1"/>
  <c r="Z12" i="1"/>
  <c r="Z9" i="1"/>
  <c r="Z6" i="1"/>
  <c r="Z23" i="1"/>
  <c r="Z20" i="1"/>
  <c r="Z17" i="1"/>
  <c r="Z14" i="1"/>
  <c r="Z11" i="1"/>
  <c r="Z24" i="1"/>
  <c r="K21" i="1"/>
  <c r="K20" i="1"/>
  <c r="L9" i="1"/>
  <c r="K15" i="1"/>
  <c r="L17" i="1"/>
  <c r="K5" i="1"/>
  <c r="K23" i="1"/>
  <c r="L23" i="1"/>
  <c r="K24" i="1"/>
  <c r="L24" i="1"/>
  <c r="K4" i="1"/>
  <c r="K25" i="1"/>
  <c r="L25" i="1"/>
  <c r="K11" i="1"/>
  <c r="L11" i="1"/>
  <c r="L16" i="1"/>
  <c r="K16" i="1"/>
  <c r="L21" i="1"/>
  <c r="L15" i="1"/>
  <c r="L26" i="1"/>
  <c r="K26" i="1"/>
  <c r="K8" i="1"/>
  <c r="L8" i="1"/>
  <c r="L19" i="1"/>
  <c r="K13" i="1"/>
  <c r="L13" i="1"/>
  <c r="K7" i="1"/>
  <c r="L7" i="1"/>
  <c r="L27" i="1"/>
  <c r="K10" i="1"/>
  <c r="L10" i="1"/>
  <c r="K22" i="1"/>
  <c r="L22" i="1"/>
  <c r="L20" i="1"/>
  <c r="L14" i="1"/>
  <c r="K14" i="1"/>
  <c r="L18" i="1"/>
  <c r="L12" i="1"/>
  <c r="L6" i="1"/>
  <c r="K6" i="1"/>
  <c r="X5" i="1"/>
  <c r="X3" i="1"/>
  <c r="X28" i="1" l="1"/>
  <c r="Z5" i="1"/>
  <c r="T5" i="1"/>
  <c r="P3" i="1"/>
  <c r="L4" i="1"/>
  <c r="P4" i="1"/>
  <c r="L5" i="1"/>
  <c r="P5" i="1"/>
  <c r="Z4" i="1"/>
  <c r="L3" i="1"/>
  <c r="T28" i="1" l="1"/>
  <c r="P28" i="1"/>
  <c r="K28" i="1"/>
  <c r="Z28" i="1" l="1"/>
  <c r="AC4" i="1" s="1"/>
  <c r="C3" i="6" s="1"/>
  <c r="C8" i="6" s="1"/>
  <c r="L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7" authorId="0" shapeId="0" xr:uid="{ABD84C3E-ED43-4A1B-8CFD-D0F069693B2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Planeación
</t>
        </r>
      </text>
    </comment>
    <comment ref="B10" authorId="0" shapeId="0" xr:uid="{06B15DC4-EDDD-438D-A9A7-6D185DFFA58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Planeación</t>
        </r>
      </text>
    </comment>
    <comment ref="B11" authorId="0" shapeId="0" xr:uid="{6E6426DA-260C-4E33-8501-97D1A1177C0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Planeación</t>
        </r>
      </text>
    </comment>
    <comment ref="B16" authorId="0" shapeId="0" xr:uid="{F6715B61-A96A-4D47-8141-B72E3B64A7A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Hacienda</t>
        </r>
      </text>
    </comment>
    <comment ref="B17" authorId="0" shapeId="0" xr:uid="{90061448-A281-4F80-BD38-BB3CBF53FFB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Planeación</t>
        </r>
      </text>
    </comment>
    <comment ref="B18" authorId="0" shapeId="0" xr:uid="{6F508208-7BD7-4F0C-9C10-8634AF7422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Planeación</t>
        </r>
      </text>
    </comment>
    <comment ref="B20" authorId="0" shapeId="0" xr:uid="{B33C73EB-474C-4A8C-8511-4923921F8E9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Todas las Secretarias</t>
        </r>
      </text>
    </comment>
    <comment ref="B21" authorId="0" shapeId="0" xr:uid="{44E0F2B4-2490-4CD8-83DB-1F57285A397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Planeación</t>
        </r>
      </text>
    </comment>
    <comment ref="B26" authorId="0" shapeId="0" xr:uid="{B88B8E9F-3D80-4B87-8137-0A327A3F5AB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Medio Ambiente</t>
        </r>
      </text>
    </comment>
    <comment ref="B27" authorId="0" shapeId="0" xr:uid="{63C6C950-706D-4D69-890C-E5F69D34669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Planeación</t>
        </r>
      </text>
    </comment>
    <comment ref="M27" authorId="0" shapeId="0" xr:uid="{1A7CFC18-51BC-4EC2-B8AC-315230976DC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toma indicador 2 correspondiente a los años 2026 y 2027. Hay cumplimiento de la Meta del cuatrenio.</t>
        </r>
      </text>
    </comment>
  </commentList>
</comments>
</file>

<file path=xl/sharedStrings.xml><?xml version="1.0" encoding="utf-8"?>
<sst xmlns="http://schemas.openxmlformats.org/spreadsheetml/2006/main" count="596" uniqueCount="251">
  <si>
    <t>COMPONENTE</t>
  </si>
  <si>
    <t>PROGRAMA</t>
  </si>
  <si>
    <t xml:space="preserve">CÓDIGO DE PRODUCTO </t>
  </si>
  <si>
    <t>INDICADOR DE PRODUCTO</t>
  </si>
  <si>
    <t>UNIDAD DE MEDIDA</t>
  </si>
  <si>
    <t>TENDENCIA</t>
  </si>
  <si>
    <t>META CUATRENIO</t>
  </si>
  <si>
    <t>META 2024</t>
  </si>
  <si>
    <t>META 2025</t>
  </si>
  <si>
    <t>0202
 Juntos por la Cultura, Identidad  y el patrimonio Guatapense</t>
  </si>
  <si>
    <t>% CUMPLIMIENTO P.A 2024</t>
  </si>
  <si>
    <t>% CUMPLIMIENTO P.A 2025</t>
  </si>
  <si>
    <t>% AVANCE P.D. 2025</t>
  </si>
  <si>
    <t>% AVANCE P.D. 2024</t>
  </si>
  <si>
    <t>0501
Juntos por la Prestación de Servicios Públicos de calidad</t>
  </si>
  <si>
    <t xml:space="preserve">LÍNEA ESTRATÉGICA </t>
  </si>
  <si>
    <t>AVANCE PLAN DE DESARROLLO JUNTOS CONSTRUIMOS 2024 -2027</t>
  </si>
  <si>
    <t>010101
 Implementación de un plan integral de seguridad y convivencia ciudadana</t>
  </si>
  <si>
    <t xml:space="preserve">010102
Fortalecimiento del Centro de monitoreo y control </t>
  </si>
  <si>
    <t>010103
Implementación de estrategias de prevención y control para navegabilidad en el embalse Peñol - Guatapé</t>
  </si>
  <si>
    <t>0104
Juntos por la humanización de la salud, el bienestar del ser humano y una atención de calidad.</t>
  </si>
  <si>
    <t>0105 
Juntos por el Desarrollo Comunitario Equitativo</t>
  </si>
  <si>
    <t>0201
 Juntos por la Educación con pertinencia, vocación para el desarrollo y reducción de la desigualdad.</t>
  </si>
  <si>
    <t xml:space="preserve">0203 
Juntos por el Deporte, la recreación y la actividad física </t>
  </si>
  <si>
    <t>0204  
Juntos  por un Guatape Igualitario y con Equidad Social</t>
  </si>
  <si>
    <t xml:space="preserve">0301 
Juntos por el Turismo como eje del desarrollo municipal </t>
  </si>
  <si>
    <t>0302 
Juntos por el Desarrollo económico, empresarial, innovación y TIC</t>
  </si>
  <si>
    <t xml:space="preserve">0401
 Juntos por el Ordenamiento Territorial </t>
  </si>
  <si>
    <t>0402
Juntos por el Equipamiento Público</t>
  </si>
  <si>
    <t xml:space="preserve">0403 
Juntos por la Dignificación de la Vivienda </t>
  </si>
  <si>
    <t>0502 
Juntos por la Gestión Ambiental Sostenible y Accion Climatica</t>
  </si>
  <si>
    <t>0503
 Juntos por la Prevención y atención de desastres</t>
  </si>
  <si>
    <t>0504 
Juntos por el Desarrollo agropecuario y Promoción de la Seguridad Alimentaria en la Ruralidad</t>
  </si>
  <si>
    <t>LINEA ESTRATÉGICA: 02. JUNTOS POR EL MOVIMIENTO NIÑO: EQUIDAD SOCIAL, EDUCACIÓN, CULTURA Y DEPORTE</t>
  </si>
  <si>
    <t>AVANCE ACUMULADO
META 2024 Y 2025</t>
  </si>
  <si>
    <t>TOTAL 2024</t>
  </si>
  <si>
    <t>TOTAL 2025</t>
  </si>
  <si>
    <t>AVANCE 
META 2025</t>
  </si>
  <si>
    <t>AVANCE 
META 2024</t>
  </si>
  <si>
    <t xml:space="preserve">% AVANCE A LA FECHA P.D. </t>
  </si>
  <si>
    <t>NUMERO DE PROGRAMAS</t>
  </si>
  <si>
    <t>META 2026</t>
  </si>
  <si>
    <t>AVANCE 
META 2026</t>
  </si>
  <si>
    <t>% CUMPLIMIENTO P.A 2026</t>
  </si>
  <si>
    <t>% AVANCE P.D. 2026</t>
  </si>
  <si>
    <t>TOTAL 2026</t>
  </si>
  <si>
    <t>TOTAL ACUMULADO</t>
  </si>
  <si>
    <t>META 2027</t>
  </si>
  <si>
    <t>AVANCE 
META 2027</t>
  </si>
  <si>
    <t>LINEA BASE</t>
  </si>
  <si>
    <t>010201
Actualización e Implementación del Plan de movilidad Municipal</t>
  </si>
  <si>
    <t xml:space="preserve">010202
Gestión para la pavimentación de vías para la integración regional  </t>
  </si>
  <si>
    <t>010203
Formulación y ejecución del programa de educación y seguridad vial</t>
  </si>
  <si>
    <t>010204
Implementación de zonas de estacionamiento regulado</t>
  </si>
  <si>
    <t>010301
Formulación, ejecución, seguimiento, evaluación y control del plan de desarrollo municipal</t>
  </si>
  <si>
    <t>010302
Fortalecimiento del modelo integrado de planeación y gestión (MIPG), acorde con los lineamientos del decreto 1499 -2017</t>
  </si>
  <si>
    <t>010303
Elaboración de procesos integrales de evaluación institucional y reorganización administrativa</t>
  </si>
  <si>
    <t xml:space="preserve">010304
Diseño e implementación de Programas de capacitación y asistencia técnica. </t>
  </si>
  <si>
    <t xml:space="preserve">010305 
Fortalecimiento de los procesos de gestión documental acorde a la normatividad legal aplicable </t>
  </si>
  <si>
    <t>010306
Fortalecimiento de los Sistemas de Información y Comunicación de la entidad</t>
  </si>
  <si>
    <t xml:space="preserve">010307
Fortalecimiento de la hacienda pública y fiscalización </t>
  </si>
  <si>
    <t>010308
Revisión y ajuste del esquema de ordenamiento territorial EOT</t>
  </si>
  <si>
    <t>010309
Gestión de instrumentos de financiación del esquema de ordenamiento territorial EOT</t>
  </si>
  <si>
    <t>010310
Fortalecimiento de la capacidad institucional a través de la dotación integral</t>
  </si>
  <si>
    <t>010311
Generación de Alianzas con actores tanto públicos como privados para continuar potenciando los recursos municipales y mejorando las condiciones económicas del territorio y sus habitantes</t>
  </si>
  <si>
    <t xml:space="preserve">010312
Fortalecimiento de la Gestión catastral </t>
  </si>
  <si>
    <t>010401
 Implementación del plan territorial de salud en el marco del plan decenal 2022 -2031</t>
  </si>
  <si>
    <t xml:space="preserve">010402.
Fortalecimiento de la Autoridad Sanitaria </t>
  </si>
  <si>
    <t xml:space="preserve">010403.
Fortalecimiento de la Salud Pública </t>
  </si>
  <si>
    <t>010404.
Mejoramiento de Infraestructura de Salud</t>
  </si>
  <si>
    <t xml:space="preserve">010501.
Fomento de la participación ciudadana </t>
  </si>
  <si>
    <t>010502
Construcción y mantenimiento de sedes comunales</t>
  </si>
  <si>
    <t xml:space="preserve">020101
Fortalecimiento del PAE (Programa de Alimentación Escolar) en términos de cobertura y calidad </t>
  </si>
  <si>
    <t xml:space="preserve">020102
Mejoramiento del programa de transporte escolar municipal en términos de permanencia </t>
  </si>
  <si>
    <t>020103 
Fortalecimiento de cobertura y calidad educativa para la resignificación y complementación de la jornada escolar</t>
  </si>
  <si>
    <t xml:space="preserve">20104
Fortalecimiento de los programas y proyectos de bibliotecas </t>
  </si>
  <si>
    <t>20105
Fortalecimiento del acceso a la Educación Superior “Guatapé. vive la U”</t>
  </si>
  <si>
    <t>20106
Mejoramiento de la infraestructura de sedes educativas</t>
  </si>
  <si>
    <t>20107
Fortalecimiento de ambientes de aprendizaje para la ciencia. tecnologia. la innovacion y la formacion para la vida</t>
  </si>
  <si>
    <t>20201
Gestion para la Construcción del centro cultural y artístico del municipio de Guatapé</t>
  </si>
  <si>
    <t>20202
Fortalecimiento de la cobertura de los programas del Centro de Formación Artística en la zona urbana y rural</t>
  </si>
  <si>
    <t xml:space="preserve">20203
Mantenimiento, protección y recuperación del patrimonio histórico y cultural </t>
  </si>
  <si>
    <t>20204
Mejoramiento de la infraestructura cultural y artística</t>
  </si>
  <si>
    <t xml:space="preserve">20205
Fortalecimiento de eventos e intercambios para el fomento de expresiones artísticas y culturales </t>
  </si>
  <si>
    <t>20206
Implementación del Programa entrega de estímulos a los artistas guatapenses</t>
  </si>
  <si>
    <t xml:space="preserve">20301
Fortalecimiento del programa de recreación. deporte y aprovechamiento del tiempo libre </t>
  </si>
  <si>
    <t>20302
Mantenimiento y adecuación de los escenarios deportivos y recreativos de la zona urbana y rural</t>
  </si>
  <si>
    <t>20303
Dotación e implementación para práctica del deporte</t>
  </si>
  <si>
    <t>20304
Formulación e implementación del Plan Decenal del Deporte</t>
  </si>
  <si>
    <t>20305
 Apoyo integral a los deportistas destacados en diferentes categorías</t>
  </si>
  <si>
    <t>20306
Fortalecimiento de organizaciones deportivas</t>
  </si>
  <si>
    <t>20401
Desarrollo integral de primera infancia. niños. niñas adolescentes. por los derechos. el juego y la felicidad.</t>
  </si>
  <si>
    <t>20402
Fortalecimiento de organizaciones que permitan mejorar la equidad social integral priorizando el enfoque en la mujer. víctimas de la violencia y demás grupos vulnerables</t>
  </si>
  <si>
    <t>20403
Continuidad del Plan Estratégico Territorial “Movimiento Niño: desde el  vientre hasta siempre”. Teniendo como base las familias y el desarrollo social en los diferentes cursos de vida.</t>
  </si>
  <si>
    <t>20404 
Implementación de la política pública de Juventud</t>
  </si>
  <si>
    <t>20405
Atención integral al Adulto Mayor. Dignificando los años Dorados</t>
  </si>
  <si>
    <t>20406 
Atención integral a la población con discapacidad con inclusion total</t>
  </si>
  <si>
    <t>020407
Atención integral de las víctimas y generarando escenarios de reconciliacion y paz total</t>
  </si>
  <si>
    <t>020408
Atención integral a la mujer. Empoderando a la mujer guatapense</t>
  </si>
  <si>
    <t xml:space="preserve">020409
Gestión para la construcción de la casa de la mujer </t>
  </si>
  <si>
    <t>020410
Atención a la comunidad LGTIBQ+. Como territorio protector y garante de derechos</t>
  </si>
  <si>
    <t>20411
Apoyo y fortalecimiento de los grupos étnicos en el municipio</t>
  </si>
  <si>
    <t>20412
Mejoramiento de Infraestructura Juvenil</t>
  </si>
  <si>
    <t xml:space="preserve">30101
Implementación del Programa “De los zócalos al campo” </t>
  </si>
  <si>
    <t>30102
Construcción y Mantenimiento de la infraestructura turística del municipio</t>
  </si>
  <si>
    <t>030103
Fortalecimiento de la Política Pública de Turismo</t>
  </si>
  <si>
    <t>30104
Fortalecimiento de la promocion Turistica del territorio como eje Dinamizador de la economia</t>
  </si>
  <si>
    <t>030201
Fortalecimiento y dinamización de los sistemas de información digitales</t>
  </si>
  <si>
    <t>30202 
Fortalecimiento de emprendedores y empresarios</t>
  </si>
  <si>
    <t>30203
Implementacion de conectividad en el Territorio. fortaleciendo el desarrollo equitativo de todos los sectores.</t>
  </si>
  <si>
    <t>040101
Formulación y ejecución de un plan estratégico de espacio público Municipal</t>
  </si>
  <si>
    <t>040102
Fortalecimiento a la Implementación del Esquema de Ordenamiento Territorial y sus directrices </t>
  </si>
  <si>
    <t>040103
Fortalecimiento del consejo territorial de planeación y promover su participación en los principales escenarios de desarrollo</t>
  </si>
  <si>
    <t>040201
Aumento de los espacios de infraestructura física de integración y encuentro para la comunidad guatapense</t>
  </si>
  <si>
    <t>040202
Ampliación del programa de zocalización de Guatapé</t>
  </si>
  <si>
    <t>040203
Expansión del servicio de alumbrado público</t>
  </si>
  <si>
    <t>040204
Construcción de Infraestructura para la promoción de métodos alternativos de transporte saludables en sectores estratégicos del municipio</t>
  </si>
  <si>
    <t>40301
Otorgamiento de Subsidios para la adquisición de VIS (vivienda de interés social) y/o VIP (Vivienda de Interés Prioritario)</t>
  </si>
  <si>
    <t>040302
Otorgamiento de Subsidios para el mejoramiento de vivienda. garantizando hogares guatapenses dignos</t>
  </si>
  <si>
    <t>040303
Otorgamiento de Subsidios para reubicación de viviendas asentadas en zonas de alto riesgo</t>
  </si>
  <si>
    <t>040304
 Gestión de la titulación y legalización de predios construidos en el municipio</t>
  </si>
  <si>
    <t>050101
Ampliación y reposición de la infraestructura para la prestación de los servicios públicos domiciliarios de acueducto y alcantarillado</t>
  </si>
  <si>
    <t>050102
Ampliación de la cobertura. el abastecimiento y la calidad en el servicio de acueducto y alcantarillado para el municipio de Guatapé</t>
  </si>
  <si>
    <t>50103
Gestión para la adquisición de predios de protección hídrica para la protección de cuencas abastecedoras de acueductos para la prestación del servicio de acueducto urbano y rural </t>
  </si>
  <si>
    <t>050104
Optimización y ampliación del relleno sanitario municipal para aumentar su vida útil</t>
  </si>
  <si>
    <t>050105
Optimización y ampliación de la Planta de Compostaje para tratamiento de los residuos orgánicos</t>
  </si>
  <si>
    <t>050106
Fortalecimiento y acompañamiento integral a los prestadores de empresas prestadoras de servicios públicos del Municipio</t>
  </si>
  <si>
    <t>50107
Gestión para la construcción de la planta de tratamiento y potabilización de agua de la vereda quebrada arriba</t>
  </si>
  <si>
    <t>050108
Gestión para la ampliación y optimización de la planta de tratamiento de aguas residuales domésticas PTARD del municipio de Guatapé</t>
  </si>
  <si>
    <t>050201
Conservación bosques nativos en los cuales se realicen gestiones para realización de pagos por servicios ambientales</t>
  </si>
  <si>
    <t>050202
Actualización e implementación de la política pública de bienestar animal. priorizan la educación y cuidado de los animales</t>
  </si>
  <si>
    <t>50203
Actualización e implementación del Plan de Gestión Integral de Residuos Sólidos PGIRS</t>
  </si>
  <si>
    <t>050204
Fortalecimiento de estrategias de educación ambiental como eje transversal de transformación cultural en el territorio</t>
  </si>
  <si>
    <t>050301
Actualización de los estudios básicos de amenaza. vulnerabilidad y riesgo . y Accion Climatica</t>
  </si>
  <si>
    <t xml:space="preserve">050302
Implementación de acciones de prevención y mitigación de emergencias y desastres </t>
  </si>
  <si>
    <t>050303
Fortalecimiento de la infraestructura para la prevención. mitigación  y atención de emergencias y desastres</t>
  </si>
  <si>
    <t>050401
Implementación de Vivienda rural sostenible</t>
  </si>
  <si>
    <t>050402 
Fortalecimiento de programas y proyectos de asistencia técnica directa rural</t>
  </si>
  <si>
    <t>050403
Desarrollo de estrategias con la población rural en pro de reducir las pérdidas y desperdicios en la etapa de postcosecha</t>
  </si>
  <si>
    <t>050404 
Implementación de acciones para la seguridad alimentaria en la ruralidad</t>
  </si>
  <si>
    <t xml:space="preserve">450102600
</t>
  </si>
  <si>
    <t xml:space="preserve">
459902304</t>
  </si>
  <si>
    <t>459900100</t>
  </si>
  <si>
    <t>450100700</t>
  </si>
  <si>
    <t>450108300</t>
  </si>
  <si>
    <t>459903104</t>
  </si>
  <si>
    <t>459903105</t>
  </si>
  <si>
    <t>190501505</t>
  </si>
  <si>
    <t>Estrategias implementadas</t>
  </si>
  <si>
    <t>Número</t>
  </si>
  <si>
    <t>Incremento</t>
  </si>
  <si>
    <t>Cámaras de seguridad instaladas</t>
  </si>
  <si>
    <t xml:space="preserve">Planes estratégicos elaborados
</t>
  </si>
  <si>
    <t>Planes estratégicos elaborados</t>
  </si>
  <si>
    <t>Vía terciaria pavimentada</t>
  </si>
  <si>
    <t>Kilómetros</t>
  </si>
  <si>
    <t>Celdas de estacionamiento regulado disponibles</t>
  </si>
  <si>
    <t>Documentos de planeación realizados</t>
  </si>
  <si>
    <t xml:space="preserve">
Herramientas implementadas</t>
  </si>
  <si>
    <t>Documentos de evaluación elaborados</t>
  </si>
  <si>
    <t>Eventos de formación realizados</t>
  </si>
  <si>
    <t>Sistema de gestión documental implementado</t>
  </si>
  <si>
    <t>Sistemas de información implementados</t>
  </si>
  <si>
    <t>Programa de sanemiento fiscal y financiero ejecutado</t>
  </si>
  <si>
    <t xml:space="preserve">Porcentaje </t>
  </si>
  <si>
    <t>Infraestructura de soporte adecuada</t>
  </si>
  <si>
    <t>Proyectos asistidos técnicamente</t>
  </si>
  <si>
    <t>Documentos de planeación elaborados</t>
  </si>
  <si>
    <t>Hospitales de primer nivel de atención modificados</t>
  </si>
  <si>
    <t>Estrategias de promoción a la participación ciudadana implementadas</t>
  </si>
  <si>
    <t>Salones comunales construidos</t>
  </si>
  <si>
    <t>Mantenimiento</t>
  </si>
  <si>
    <t>Metros cuadrados</t>
  </si>
  <si>
    <t>Metros</t>
  </si>
  <si>
    <t>Hectáreas</t>
  </si>
  <si>
    <t>Estudiantes beneficiados del programa de alimentación escolar</t>
  </si>
  <si>
    <t>Días de atención del servicio de transporte escolar</t>
  </si>
  <si>
    <t>Programas realizados</t>
  </si>
  <si>
    <t>Usuarios atendidos</t>
  </si>
  <si>
    <t>Beneficiarios de estrategias o programas de  fomento para el acceso a la educación superior</t>
  </si>
  <si>
    <t xml:space="preserve">Sedes educativas mejoradas </t>
  </si>
  <si>
    <t>Ambientes de aprendizaje en funcionamiento</t>
  </si>
  <si>
    <t xml:space="preserve">Viabilizaciones realizadas </t>
  </si>
  <si>
    <t>Personas capacitadas</t>
  </si>
  <si>
    <t>Planes de manejo ejecutados</t>
  </si>
  <si>
    <t>Infraestructura cultural intervenida</t>
  </si>
  <si>
    <t>Eventos de promoción de actividades culturales realizados</t>
  </si>
  <si>
    <t>Estímulos otorgados a los beneficiarios de Colombia Creativa</t>
  </si>
  <si>
    <t xml:space="preserve"> Personas atendidas por los programas de recreación, deporte social comunitario, actividad física y aprovechamiento del tiempo libre</t>
  </si>
  <si>
    <t>Infraestructura deportiva en operación</t>
  </si>
  <si>
    <t>Artículos deportivos entregados</t>
  </si>
  <si>
    <t>Documentos normativos realizados</t>
  </si>
  <si>
    <t>Personas beneficiadas</t>
  </si>
  <si>
    <t>Organismos deportivos apoyados</t>
  </si>
  <si>
    <t>Niños, niñas, adolescentes y jóvenes beneficiados</t>
  </si>
  <si>
    <t>Acciones ejecutadas con las comunidades</t>
  </si>
  <si>
    <t>Documentos de lineamientos técnicos en Política y Atención Integral de niños, niñas y adolescentes realizados</t>
  </si>
  <si>
    <t>Documentos de planeación con seguimiento realizados</t>
  </si>
  <si>
    <t>Adultos mayores atendidos con servicios integrales</t>
  </si>
  <si>
    <t>Personas con discapacidad atendidas con servicios integrales</t>
  </si>
  <si>
    <t>Víctimas asistidas técnicamente</t>
  </si>
  <si>
    <t>Estrategias de promoción de la garantía de derechos implementadas</t>
  </si>
  <si>
    <t>Casas de Igualdad de oportunidades para la mujer y el joven</t>
  </si>
  <si>
    <t>Grupos étnicos asistidos técnicamente</t>
  </si>
  <si>
    <t>Documentos sobre medición y análisis de información turística realizados</t>
  </si>
  <si>
    <t xml:space="preserve">Equipamientos contruidos </t>
  </si>
  <si>
    <t>Planes gerenciales implementados en empresas ancladas a cadenas productivas</t>
  </si>
  <si>
    <t>Productos digitales desarrollados</t>
  </si>
  <si>
    <t xml:space="preserve">Unidades productivas fortalecidas </t>
  </si>
  <si>
    <t>Conexiones a internet fijo y / o móvil</t>
  </si>
  <si>
    <t>Documentos de planeación en Ordenamiento Territorial implementados</t>
  </si>
  <si>
    <t>Instancias formales y no formales de participación fortalecidas</t>
  </si>
  <si>
    <t>Areas Físicas Adecuadas</t>
  </si>
  <si>
    <t>Areas Fisicas Adecuadas</t>
  </si>
  <si>
    <t>Redes de alumbrado público ampliadas</t>
  </si>
  <si>
    <t>Andén construido</t>
  </si>
  <si>
    <t>Hogares beneficiados con adquisición de vivienda </t>
  </si>
  <si>
    <t>Hogares beneficiados con mejoramiento de una vivienda  </t>
  </si>
  <si>
    <t>Asistencias técnicas y jurídicas realizadas</t>
  </si>
  <si>
    <t>Proyectos de acueducto, alcantarillado y aseo apoyados financieramente</t>
  </si>
  <si>
    <t>Áreas protegidas</t>
  </si>
  <si>
    <t>Soluciones de disposición final de residuos solidos construidas</t>
  </si>
  <si>
    <t>Personas prestadoras asistidas técnicamente</t>
  </si>
  <si>
    <t>Plantas de tratamiento de agua potable construidas</t>
  </si>
  <si>
    <t>Proyectos de aguas residuales apoyados financieramente</t>
  </si>
  <si>
    <t>Plan Integral de gestión de residuos sólidos (PGIRS) actualizado</t>
  </si>
  <si>
    <t>Personas formadas  en cultura y participación para la gestión ambiental y territorial</t>
  </si>
  <si>
    <t>Documentos de planeación con la propuesta de acciones de mitigación y adaptación al cambio climático diseñados</t>
  </si>
  <si>
    <t>Campañas de educación para la prevención y atención de desastres desarrolladas</t>
  </si>
  <si>
    <t>Obras de infraestructura para la reducción del riesgo de desastres realizadas</t>
  </si>
  <si>
    <t>Personas apoyadas</t>
  </si>
  <si>
    <t>Pequeños productores rurales asistidos técnicamente</t>
  </si>
  <si>
    <t>Productores atendidos con servicio de extensión agropecuaria</t>
  </si>
  <si>
    <t>Hogares apoyados para seguridad alimentaria</t>
  </si>
  <si>
    <t xml:space="preserve"> 01. JUNTOS POR LA GOBERNANZA, LA SEGURIDAD, LA MOVILIDAD Y LA HUMANIZACIÓN DE LA SALUD</t>
  </si>
  <si>
    <t>02. JUNTOS POR EL MOVIMIENTO NIÑO: EQUIDAD SOCIAL, EDUCACIÓN, CULTURA Y DEPORTE</t>
  </si>
  <si>
    <t>03. JUNTOS POR EL TURISMO, EL EMPRENDIMIENTO, LA CONEXIÓN Y ALIANZAS PARA EL DESARROLLO</t>
  </si>
  <si>
    <t>04. JUNTOS POR LA PLANEACIÓN Y DESARROLLO EQUITATIVO DEL TERRITORIO</t>
  </si>
  <si>
    <t xml:space="preserve"> 05. JUNTOS POR EL MEDIO AMBIENTE, LA PREVENCIÓN Y ATENCIÓN DE EMERGENCIAS Y DESASTRES Y LA DIGNIFICACIÓN DEL CAMPO GUATAPENSE</t>
  </si>
  <si>
    <t>AVANCE PLAN DE DESARROLLO JUNTOS CONSTRUIMOS 2024 -2027
 01. JUNTOS POR LA GOBERNANZA, LA SEGURIDAD, LA MOVILIDAD Y LA HUMANIZACIÓN DE LA SALUD</t>
  </si>
  <si>
    <t xml:space="preserve">AVANCE PLAN DE DESARROLLO HASTA LA FECHA </t>
  </si>
  <si>
    <t>AVANCE PLAN DE DESARROLLO JUNTOS CONSTRUIMOS 2024 -2027
03. JUNTOS POR EL TURISMO, EL EMPRENDIMIENTO, LA CONEXIÓN Y ALIANZAS PARA EL DESARROLLO</t>
  </si>
  <si>
    <t>AVANCE PLAN DE DESARROLLO JUNTOS CONSTRUIMOS 2024 -2027
LINEA ESTRATÉGICA: 02. JUNTOS POR EL MOVIMIENTO NIÑO: EQUIDAD SOCIAL, EDUCACIÓN, CULTURA Y DEPORTE</t>
  </si>
  <si>
    <t xml:space="preserve"> 02. JUNTOS POR EL MOVIMIENTO NIÑO: EQUIDAD SOCIAL, EDUCACIÓN, CULTURA Y DEPORTE</t>
  </si>
  <si>
    <t>AVANCE PLAN DE DESARROLLO JUNTOS CLINEA ESTRATEGICA: 
04. JUNTOS POR LA PLANEACIÓN Y DESARROLLO EQUITATIVO DEL TERRITORIO</t>
  </si>
  <si>
    <t>AVANCE PLAN DE DESARROLLO JUNTOS CLINEA ESTRATEGICA: 
05. JUNTOS POR EL MEDIO AMBIENTE, LA PREVENCIÓN Y ATENCIÓN DE EMERGENCIAS Y DESASTRES Y LA DIGNIFICACIÓN DEL CAMPO GUATAPENSE</t>
  </si>
  <si>
    <t>05. JUNTOS POR EL MEDIO AMBIENTE, LA PREVENCIÓN Y ATENCIÓN DE EMERGENCIAS Y DESASTRES Y LA DIGNIFICACIÓN DEL CAMPO GUATAPENSE</t>
  </si>
  <si>
    <t>TOTAL</t>
  </si>
  <si>
    <t>350202000</t>
  </si>
  <si>
    <t>% CUMPLIMIENTO P.A 2027</t>
  </si>
  <si>
    <t>% AVANCE P.D.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</si>
</sst>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2CC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8E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BDDD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9" fontId="0" fillId="0" borderId="0" xfId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9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9" fontId="5" fillId="0" borderId="0" xfId="0" applyNumberFormat="1" applyFont="1"/>
    <xf numFmtId="0" fontId="0" fillId="4" borderId="1" xfId="0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0" borderId="0" xfId="0" applyFont="1"/>
    <xf numFmtId="9" fontId="2" fillId="3" borderId="1" xfId="0" applyNumberFormat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6" borderId="4" xfId="1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9" fontId="6" fillId="6" borderId="4" xfId="1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9" fontId="6" fillId="7" borderId="4" xfId="1" applyFont="1" applyFill="1" applyBorder="1" applyAlignment="1">
      <alignment horizontal="center" vertical="center" wrapText="1"/>
    </xf>
    <xf numFmtId="0" fontId="6" fillId="5" borderId="4" xfId="1" applyNumberFormat="1" applyFont="1" applyFill="1" applyBorder="1" applyAlignment="1">
      <alignment horizontal="center" vertical="center" wrapText="1"/>
    </xf>
    <xf numFmtId="9" fontId="6" fillId="5" borderId="4" xfId="1" applyFont="1" applyFill="1" applyBorder="1" applyAlignment="1">
      <alignment horizontal="center" vertical="center" wrapText="1"/>
    </xf>
    <xf numFmtId="0" fontId="6" fillId="8" borderId="4" xfId="1" applyNumberFormat="1" applyFont="1" applyFill="1" applyBorder="1" applyAlignment="1">
      <alignment horizontal="center" vertical="center" wrapText="1"/>
    </xf>
    <xf numFmtId="9" fontId="6" fillId="8" borderId="4" xfId="1" applyFont="1" applyFill="1" applyBorder="1" applyAlignment="1">
      <alignment horizontal="center" vertical="center" wrapText="1"/>
    </xf>
    <xf numFmtId="9" fontId="6" fillId="4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9" fontId="6" fillId="9" borderId="1" xfId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9" fontId="6" fillId="10" borderId="4" xfId="1" applyFont="1" applyFill="1" applyBorder="1" applyAlignment="1">
      <alignment horizontal="center" vertical="center" wrapText="1"/>
    </xf>
    <xf numFmtId="9" fontId="6" fillId="13" borderId="4" xfId="1" applyFont="1" applyFill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 wrapText="1"/>
    </xf>
    <xf numFmtId="2" fontId="6" fillId="5" borderId="4" xfId="1" applyNumberFormat="1" applyFont="1" applyFill="1" applyBorder="1" applyAlignment="1">
      <alignment horizontal="center" vertical="center" wrapText="1"/>
    </xf>
    <xf numFmtId="2" fontId="6" fillId="8" borderId="4" xfId="1" applyNumberFormat="1" applyFont="1" applyFill="1" applyBorder="1" applyAlignment="1">
      <alignment horizontal="center" vertical="center" wrapText="1"/>
    </xf>
    <xf numFmtId="9" fontId="6" fillId="12" borderId="4" xfId="1" applyFont="1" applyFill="1" applyBorder="1" applyAlignment="1">
      <alignment horizontal="center" vertical="center" wrapText="1"/>
    </xf>
    <xf numFmtId="9" fontId="6" fillId="11" borderId="4" xfId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9" fontId="6" fillId="6" borderId="1" xfId="1" applyFont="1" applyFill="1" applyBorder="1" applyAlignment="1">
      <alignment horizontal="center" vertical="center" wrapText="1"/>
    </xf>
    <xf numFmtId="9" fontId="6" fillId="7" borderId="1" xfId="1" applyFont="1" applyFill="1" applyBorder="1" applyAlignment="1">
      <alignment horizontal="center" vertical="center" wrapText="1"/>
    </xf>
    <xf numFmtId="0" fontId="6" fillId="5" borderId="1" xfId="1" applyNumberFormat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 wrapText="1"/>
    </xf>
    <xf numFmtId="0" fontId="6" fillId="8" borderId="1" xfId="1" applyNumberFormat="1" applyFont="1" applyFill="1" applyBorder="1" applyAlignment="1">
      <alignment horizontal="center" vertical="center" wrapText="1"/>
    </xf>
    <xf numFmtId="9" fontId="6" fillId="8" borderId="1" xfId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9" fontId="12" fillId="4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9" fontId="10" fillId="4" borderId="0" xfId="0" applyNumberFormat="1" applyFont="1" applyFill="1" applyAlignment="1">
      <alignment horizontal="center" vertical="center" wrapText="1"/>
    </xf>
    <xf numFmtId="9" fontId="10" fillId="4" borderId="0" xfId="1" applyFont="1" applyFill="1" applyBorder="1" applyAlignment="1">
      <alignment horizontal="center" vertical="center" wrapText="1"/>
    </xf>
    <xf numFmtId="9" fontId="2" fillId="7" borderId="4" xfId="0" applyNumberFormat="1" applyFont="1" applyFill="1" applyBorder="1" applyAlignment="1">
      <alignment horizontal="center" vertical="center" wrapText="1"/>
    </xf>
    <xf numFmtId="9" fontId="2" fillId="5" borderId="4" xfId="1" applyFont="1" applyFill="1" applyBorder="1" applyAlignment="1">
      <alignment horizontal="center" vertical="center" wrapText="1"/>
    </xf>
    <xf numFmtId="9" fontId="2" fillId="5" borderId="1" xfId="1" applyFont="1" applyFill="1" applyBorder="1" applyAlignment="1">
      <alignment horizontal="center" vertical="center" wrapText="1"/>
    </xf>
    <xf numFmtId="9" fontId="2" fillId="6" borderId="4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2" fontId="6" fillId="7" borderId="4" xfId="0" applyNumberFormat="1" applyFont="1" applyFill="1" applyBorder="1" applyAlignment="1">
      <alignment horizontal="center" vertical="center" wrapText="1"/>
    </xf>
    <xf numFmtId="2" fontId="6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textRotation="90" wrapText="1"/>
    </xf>
    <xf numFmtId="164" fontId="6" fillId="7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2CCC0"/>
      <color rgb="FF76E3FF"/>
      <color rgb="FFABDDD5"/>
      <color rgb="FFC6E8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4A84-3252-4C62-931A-E0385446CDA2}">
  <dimension ref="A1:AD33"/>
  <sheetViews>
    <sheetView tabSelected="1" topLeftCell="K1" zoomScale="53" zoomScaleNormal="53" workbookViewId="0">
      <pane ySplit="2" topLeftCell="A9" activePane="bottomLeft" state="frozen"/>
      <selection activeCell="B1" sqref="B1"/>
      <selection pane="bottomLeft" activeCell="N3" sqref="N3:N27"/>
    </sheetView>
  </sheetViews>
  <sheetFormatPr baseColWidth="10" defaultColWidth="54.5703125" defaultRowHeight="15" x14ac:dyDescent="0.25"/>
  <cols>
    <col min="1" max="1" width="54.5703125" style="5"/>
    <col min="2" max="2" width="67.140625" style="6" customWidth="1"/>
    <col min="3" max="3" width="25.85546875" customWidth="1"/>
    <col min="4" max="4" width="39.7109375" style="6" customWidth="1"/>
    <col min="5" max="5" width="21.5703125" customWidth="1"/>
    <col min="6" max="6" width="23.28515625" style="7" customWidth="1"/>
    <col min="7" max="7" width="10.85546875" style="7" customWidth="1"/>
    <col min="8" max="8" width="19.85546875" customWidth="1"/>
    <col min="9" max="9" width="15.140625" style="5" customWidth="1"/>
    <col min="10" max="10" width="19.42578125" style="5" customWidth="1"/>
    <col min="11" max="11" width="33.28515625" style="5" customWidth="1"/>
    <col min="12" max="12" width="19.85546875" style="5" customWidth="1"/>
    <col min="13" max="13" width="14.140625" style="5" customWidth="1"/>
    <col min="14" max="14" width="19.42578125" customWidth="1"/>
    <col min="15" max="15" width="34.140625" style="5" customWidth="1"/>
    <col min="16" max="16" width="21.5703125" style="5" customWidth="1"/>
    <col min="17" max="17" width="13.42578125" style="5" customWidth="1"/>
    <col min="18" max="18" width="19.42578125" style="5" customWidth="1"/>
    <col min="19" max="19" width="32.140625" style="5" customWidth="1"/>
    <col min="20" max="20" width="19.5703125" style="5" customWidth="1"/>
    <col min="21" max="21" width="12.7109375" style="5" customWidth="1"/>
    <col min="22" max="22" width="19.42578125" style="5" customWidth="1"/>
    <col min="23" max="23" width="30.85546875" style="5" customWidth="1"/>
    <col min="24" max="24" width="20.7109375" style="5" customWidth="1"/>
    <col min="25" max="25" width="41.7109375" customWidth="1"/>
    <col min="26" max="26" width="27" customWidth="1"/>
    <col min="27" max="27" width="75" customWidth="1"/>
    <col min="28" max="28" width="30.42578125" customWidth="1"/>
    <col min="29" max="29" width="30.28515625" customWidth="1"/>
  </cols>
  <sheetData>
    <row r="1" spans="1:29" s="15" customFormat="1" ht="65.25" customHeight="1" x14ac:dyDescent="0.25">
      <c r="A1" s="87" t="s">
        <v>239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</row>
    <row r="2" spans="1:29" s="15" customFormat="1" ht="66" customHeight="1" x14ac:dyDescent="0.25">
      <c r="A2" s="63" t="s">
        <v>0</v>
      </c>
      <c r="B2" s="64" t="s">
        <v>1</v>
      </c>
      <c r="C2" s="64" t="s">
        <v>2</v>
      </c>
      <c r="D2" s="64" t="s">
        <v>3</v>
      </c>
      <c r="E2" s="64" t="s">
        <v>4</v>
      </c>
      <c r="F2" s="64" t="s">
        <v>5</v>
      </c>
      <c r="G2" s="64" t="s">
        <v>49</v>
      </c>
      <c r="H2" s="82" t="s">
        <v>6</v>
      </c>
      <c r="I2" s="64" t="s">
        <v>7</v>
      </c>
      <c r="J2" s="64" t="s">
        <v>38</v>
      </c>
      <c r="K2" s="64" t="s">
        <v>10</v>
      </c>
      <c r="L2" s="64" t="s">
        <v>13</v>
      </c>
      <c r="M2" s="64" t="s">
        <v>8</v>
      </c>
      <c r="N2" s="64" t="s">
        <v>37</v>
      </c>
      <c r="O2" s="64" t="s">
        <v>11</v>
      </c>
      <c r="P2" s="64" t="s">
        <v>12</v>
      </c>
      <c r="Q2" s="64" t="s">
        <v>41</v>
      </c>
      <c r="R2" s="64" t="s">
        <v>42</v>
      </c>
      <c r="S2" s="64" t="s">
        <v>43</v>
      </c>
      <c r="T2" s="64" t="s">
        <v>44</v>
      </c>
      <c r="U2" s="64" t="s">
        <v>47</v>
      </c>
      <c r="V2" s="64" t="s">
        <v>48</v>
      </c>
      <c r="W2" s="64" t="s">
        <v>249</v>
      </c>
      <c r="X2" s="64" t="s">
        <v>250</v>
      </c>
      <c r="Y2" s="64" t="s">
        <v>34</v>
      </c>
      <c r="Z2" s="64" t="s">
        <v>39</v>
      </c>
      <c r="AA2" s="86" t="s">
        <v>240</v>
      </c>
      <c r="AB2" s="86"/>
      <c r="AC2" s="86"/>
    </row>
    <row r="3" spans="1:29" ht="59.25" customHeight="1" x14ac:dyDescent="0.25">
      <c r="A3" s="85" t="s">
        <v>17</v>
      </c>
      <c r="B3" s="10" t="s">
        <v>17</v>
      </c>
      <c r="C3" s="58">
        <v>450104800</v>
      </c>
      <c r="D3" s="58" t="s">
        <v>148</v>
      </c>
      <c r="E3" s="58" t="s">
        <v>149</v>
      </c>
      <c r="F3" s="58" t="s">
        <v>150</v>
      </c>
      <c r="G3" s="19">
        <v>0</v>
      </c>
      <c r="H3" s="19">
        <v>1</v>
      </c>
      <c r="I3" s="21">
        <v>0.25</v>
      </c>
      <c r="J3" s="22">
        <v>0.25</v>
      </c>
      <c r="K3" s="23">
        <f>IF((J3/I3)&gt;1,1,J3/I3)</f>
        <v>1</v>
      </c>
      <c r="L3" s="23">
        <f>IF((J3/H3)&gt;1,1,J3/H3)</f>
        <v>0.25</v>
      </c>
      <c r="M3" s="24">
        <v>0.25</v>
      </c>
      <c r="N3" s="83">
        <v>0.25</v>
      </c>
      <c r="O3" s="25">
        <f>IF((N3/M3)&gt;1,1,N3/M3)</f>
        <v>1</v>
      </c>
      <c r="P3" s="25">
        <f>IF((N3/H3)&gt;1,1,N3/H3)</f>
        <v>0.25</v>
      </c>
      <c r="Q3" s="26">
        <v>0.25</v>
      </c>
      <c r="R3" s="26">
        <v>0</v>
      </c>
      <c r="S3" s="27">
        <f>IF((R3/Q3)&gt;1,1,R3/Q3)</f>
        <v>0</v>
      </c>
      <c r="T3" s="27">
        <f>IF((R3/H3)&gt;1,1,R3/H3)</f>
        <v>0</v>
      </c>
      <c r="U3" s="28">
        <v>0.25</v>
      </c>
      <c r="V3" s="28">
        <v>0</v>
      </c>
      <c r="W3" s="29">
        <f>IF((V3/U3)&gt;1,1,V3/U3)</f>
        <v>0</v>
      </c>
      <c r="X3" s="29">
        <f>IF((V3/H3)&gt;1,1,V3/H3)</f>
        <v>0</v>
      </c>
      <c r="Y3" s="81">
        <f>+J3+N3+R3+V3</f>
        <v>0.5</v>
      </c>
      <c r="Z3" s="30">
        <f>IF((Y3/H3)&gt;1,1,Y3/H3)</f>
        <v>0.5</v>
      </c>
      <c r="AA3" s="63" t="s">
        <v>15</v>
      </c>
      <c r="AB3" s="64" t="s">
        <v>40</v>
      </c>
      <c r="AC3" s="64" t="s">
        <v>39</v>
      </c>
    </row>
    <row r="4" spans="1:29" ht="78.75" x14ac:dyDescent="0.25">
      <c r="A4" s="85"/>
      <c r="B4" s="10" t="s">
        <v>18</v>
      </c>
      <c r="C4" s="58">
        <v>450102800</v>
      </c>
      <c r="D4" s="58" t="s">
        <v>151</v>
      </c>
      <c r="E4" s="58" t="s">
        <v>149</v>
      </c>
      <c r="F4" s="58" t="s">
        <v>150</v>
      </c>
      <c r="G4" s="31">
        <v>0</v>
      </c>
      <c r="H4" s="31">
        <v>10</v>
      </c>
      <c r="I4" s="32">
        <v>1</v>
      </c>
      <c r="J4" s="33">
        <v>8</v>
      </c>
      <c r="K4" s="23">
        <f t="shared" ref="K4:K26" si="0">IF((J4/I4)&gt;1,1,J4/I4)</f>
        <v>1</v>
      </c>
      <c r="L4" s="23">
        <f t="shared" ref="L4:L27" si="1">IF((J4/H4)&gt;1,1,J4/H4)</f>
        <v>0.8</v>
      </c>
      <c r="M4" s="34">
        <v>3</v>
      </c>
      <c r="N4" s="39">
        <v>13</v>
      </c>
      <c r="O4" s="25">
        <f t="shared" ref="O4:O27" si="2">IF((N4/M4)&gt;1,1,N4/M4)</f>
        <v>1</v>
      </c>
      <c r="P4" s="25">
        <f t="shared" ref="P4:P27" si="3">IF((N4/H4)&gt;1,1,N4/H4)</f>
        <v>1</v>
      </c>
      <c r="Q4" s="26">
        <v>3</v>
      </c>
      <c r="R4" s="26">
        <v>0</v>
      </c>
      <c r="S4" s="27">
        <f t="shared" ref="S4:S26" si="4">IF((R4/Q4)&gt;1,1,R4/Q4)</f>
        <v>0</v>
      </c>
      <c r="T4" s="27">
        <f>IF((R4/H4)&gt;1,1,R4/H4)</f>
        <v>0</v>
      </c>
      <c r="U4" s="28">
        <v>3</v>
      </c>
      <c r="V4" s="28">
        <v>0</v>
      </c>
      <c r="W4" s="29">
        <f t="shared" ref="W4:W26" si="5">IF((V4/U4)&gt;1,1,V4/U4)</f>
        <v>0</v>
      </c>
      <c r="X4" s="29">
        <f t="shared" ref="X4:X27" si="6">IF((V4/H4)&gt;1,1,V4/H4)</f>
        <v>0</v>
      </c>
      <c r="Y4" s="20">
        <f>+J4+N4+R4+V4</f>
        <v>21</v>
      </c>
      <c r="Z4" s="35">
        <f t="shared" ref="Z4:Z27" si="7">IF((Y4/H4)&gt;1,1,Y4/H4)</f>
        <v>1</v>
      </c>
      <c r="AA4" s="70" t="s">
        <v>234</v>
      </c>
      <c r="AB4" s="69">
        <v>25</v>
      </c>
      <c r="AC4" s="16">
        <f>Z28</f>
        <v>0.45652857142857139</v>
      </c>
    </row>
    <row r="5" spans="1:29" ht="45" x14ac:dyDescent="0.25">
      <c r="A5" s="85"/>
      <c r="B5" s="10" t="s">
        <v>19</v>
      </c>
      <c r="C5" s="58" t="s">
        <v>140</v>
      </c>
      <c r="D5" s="58" t="s">
        <v>152</v>
      </c>
      <c r="E5" s="58" t="s">
        <v>149</v>
      </c>
      <c r="F5" s="58" t="s">
        <v>150</v>
      </c>
      <c r="G5" s="31">
        <v>0</v>
      </c>
      <c r="H5" s="31">
        <v>1</v>
      </c>
      <c r="I5" s="32">
        <v>0.25</v>
      </c>
      <c r="J5" s="32">
        <v>0.15</v>
      </c>
      <c r="K5" s="23">
        <f t="shared" si="0"/>
        <v>0.6</v>
      </c>
      <c r="L5" s="23">
        <f t="shared" si="1"/>
        <v>0.15</v>
      </c>
      <c r="M5" s="34">
        <v>0.25</v>
      </c>
      <c r="N5" s="39">
        <v>0.25</v>
      </c>
      <c r="O5" s="25">
        <f t="shared" si="2"/>
        <v>1</v>
      </c>
      <c r="P5" s="25">
        <f t="shared" si="3"/>
        <v>0.25</v>
      </c>
      <c r="Q5" s="26">
        <v>0.25</v>
      </c>
      <c r="R5" s="26">
        <v>0</v>
      </c>
      <c r="S5" s="27">
        <f t="shared" si="4"/>
        <v>0</v>
      </c>
      <c r="T5" s="27">
        <f t="shared" ref="T5:T27" si="8">IF((R5/H5)&gt;1,1,R5/H5)</f>
        <v>0</v>
      </c>
      <c r="U5" s="28">
        <v>0.25</v>
      </c>
      <c r="V5" s="28">
        <v>0</v>
      </c>
      <c r="W5" s="29">
        <f t="shared" si="5"/>
        <v>0</v>
      </c>
      <c r="X5" s="29">
        <f t="shared" si="6"/>
        <v>0</v>
      </c>
      <c r="Y5" s="20">
        <f t="shared" ref="Y5:Y27" si="9">+J5+N5+R5+V5</f>
        <v>0.4</v>
      </c>
      <c r="Z5" s="30">
        <f t="shared" si="7"/>
        <v>0.4</v>
      </c>
    </row>
    <row r="6" spans="1:29" ht="30" x14ac:dyDescent="0.25">
      <c r="A6" s="85" t="s">
        <v>18</v>
      </c>
      <c r="B6" s="10" t="s">
        <v>50</v>
      </c>
      <c r="C6" s="58">
        <v>450102600</v>
      </c>
      <c r="D6" s="58" t="s">
        <v>153</v>
      </c>
      <c r="E6" s="58" t="s">
        <v>149</v>
      </c>
      <c r="F6" s="58" t="s">
        <v>150</v>
      </c>
      <c r="G6" s="31">
        <v>0</v>
      </c>
      <c r="H6" s="31">
        <v>1</v>
      </c>
      <c r="I6" s="32">
        <v>0.25</v>
      </c>
      <c r="J6" s="36">
        <v>0.2</v>
      </c>
      <c r="K6" s="23">
        <f t="shared" si="0"/>
        <v>0.8</v>
      </c>
      <c r="L6" s="23">
        <f t="shared" si="1"/>
        <v>0.2</v>
      </c>
      <c r="M6" s="34">
        <v>0.25</v>
      </c>
      <c r="N6" s="39">
        <v>0.1</v>
      </c>
      <c r="O6" s="25">
        <f t="shared" si="2"/>
        <v>0.4</v>
      </c>
      <c r="P6" s="25">
        <f t="shared" si="3"/>
        <v>0.1</v>
      </c>
      <c r="Q6" s="26">
        <v>0.25</v>
      </c>
      <c r="R6" s="26">
        <v>0</v>
      </c>
      <c r="S6" s="27">
        <f t="shared" si="4"/>
        <v>0</v>
      </c>
      <c r="T6" s="27">
        <f t="shared" si="8"/>
        <v>0</v>
      </c>
      <c r="U6" s="28">
        <v>0.25</v>
      </c>
      <c r="V6" s="28">
        <v>0</v>
      </c>
      <c r="W6" s="29">
        <f t="shared" si="5"/>
        <v>0</v>
      </c>
      <c r="X6" s="29">
        <f t="shared" si="6"/>
        <v>0</v>
      </c>
      <c r="Y6" s="20">
        <f t="shared" si="9"/>
        <v>0.30000000000000004</v>
      </c>
      <c r="Z6" s="30">
        <f t="shared" si="7"/>
        <v>0.30000000000000004</v>
      </c>
    </row>
    <row r="7" spans="1:29" ht="49.5" customHeight="1" x14ac:dyDescent="0.25">
      <c r="A7" s="85"/>
      <c r="B7" s="10" t="s">
        <v>51</v>
      </c>
      <c r="C7" s="58">
        <v>240204112</v>
      </c>
      <c r="D7" s="58" t="s">
        <v>154</v>
      </c>
      <c r="E7" s="58" t="s">
        <v>155</v>
      </c>
      <c r="F7" s="58" t="s">
        <v>150</v>
      </c>
      <c r="G7" s="31">
        <v>0</v>
      </c>
      <c r="H7" s="31">
        <v>4</v>
      </c>
      <c r="I7" s="32">
        <v>1</v>
      </c>
      <c r="J7" s="32">
        <v>0</v>
      </c>
      <c r="K7" s="23">
        <f t="shared" si="0"/>
        <v>0</v>
      </c>
      <c r="L7" s="23">
        <f t="shared" si="1"/>
        <v>0</v>
      </c>
      <c r="M7" s="34">
        <v>1</v>
      </c>
      <c r="N7" s="39">
        <v>0.81</v>
      </c>
      <c r="O7" s="25">
        <f t="shared" si="2"/>
        <v>0.81</v>
      </c>
      <c r="P7" s="25">
        <f t="shared" si="3"/>
        <v>0.20250000000000001</v>
      </c>
      <c r="Q7" s="26">
        <v>1</v>
      </c>
      <c r="R7" s="26">
        <v>0</v>
      </c>
      <c r="S7" s="27">
        <f t="shared" si="4"/>
        <v>0</v>
      </c>
      <c r="T7" s="27">
        <f t="shared" si="8"/>
        <v>0</v>
      </c>
      <c r="U7" s="28">
        <v>1</v>
      </c>
      <c r="V7" s="28">
        <v>0</v>
      </c>
      <c r="W7" s="29">
        <f t="shared" si="5"/>
        <v>0</v>
      </c>
      <c r="X7" s="29">
        <f t="shared" si="6"/>
        <v>0</v>
      </c>
      <c r="Y7" s="20">
        <f t="shared" si="9"/>
        <v>0.81</v>
      </c>
      <c r="Z7" s="30">
        <f t="shared" si="7"/>
        <v>0.20250000000000001</v>
      </c>
    </row>
    <row r="8" spans="1:29" ht="30" x14ac:dyDescent="0.25">
      <c r="A8" s="85"/>
      <c r="B8" s="10" t="s">
        <v>52</v>
      </c>
      <c r="C8" s="58">
        <v>240900900</v>
      </c>
      <c r="D8" s="58" t="s">
        <v>148</v>
      </c>
      <c r="E8" s="58" t="s">
        <v>149</v>
      </c>
      <c r="F8" s="58" t="s">
        <v>150</v>
      </c>
      <c r="G8" s="19">
        <v>0</v>
      </c>
      <c r="H8" s="19">
        <v>1</v>
      </c>
      <c r="I8" s="22">
        <v>0.25</v>
      </c>
      <c r="J8" s="22">
        <v>0.25</v>
      </c>
      <c r="K8" s="23">
        <f t="shared" si="0"/>
        <v>1</v>
      </c>
      <c r="L8" s="23">
        <f t="shared" si="1"/>
        <v>0.25</v>
      </c>
      <c r="M8" s="34">
        <v>0.25</v>
      </c>
      <c r="N8" s="39">
        <v>0.25</v>
      </c>
      <c r="O8" s="25">
        <f t="shared" si="2"/>
        <v>1</v>
      </c>
      <c r="P8" s="25">
        <f t="shared" si="3"/>
        <v>0.25</v>
      </c>
      <c r="Q8" s="26">
        <v>0.25</v>
      </c>
      <c r="R8" s="26">
        <v>0</v>
      </c>
      <c r="S8" s="27">
        <f t="shared" si="4"/>
        <v>0</v>
      </c>
      <c r="T8" s="27">
        <f t="shared" si="8"/>
        <v>0</v>
      </c>
      <c r="U8" s="28">
        <v>0.25</v>
      </c>
      <c r="V8" s="28">
        <v>0</v>
      </c>
      <c r="W8" s="29">
        <f t="shared" si="5"/>
        <v>0</v>
      </c>
      <c r="X8" s="29">
        <f t="shared" si="6"/>
        <v>0</v>
      </c>
      <c r="Y8" s="20">
        <f t="shared" si="9"/>
        <v>0.5</v>
      </c>
      <c r="Z8" s="30">
        <f t="shared" si="7"/>
        <v>0.5</v>
      </c>
    </row>
    <row r="9" spans="1:29" ht="31.5" x14ac:dyDescent="0.25">
      <c r="A9" s="85"/>
      <c r="B9" s="10" t="s">
        <v>53</v>
      </c>
      <c r="C9" s="58">
        <v>240906200</v>
      </c>
      <c r="D9" s="58" t="s">
        <v>156</v>
      </c>
      <c r="E9" s="58" t="s">
        <v>149</v>
      </c>
      <c r="F9" s="58" t="s">
        <v>150</v>
      </c>
      <c r="G9" s="31">
        <v>0</v>
      </c>
      <c r="H9" s="31">
        <v>10</v>
      </c>
      <c r="I9" s="32">
        <v>0</v>
      </c>
      <c r="J9" s="48">
        <v>0</v>
      </c>
      <c r="K9" s="37"/>
      <c r="L9" s="23">
        <f>IF((J9/H9)&gt;1,1,J9/H9)</f>
        <v>0</v>
      </c>
      <c r="M9" s="34">
        <v>5</v>
      </c>
      <c r="N9" s="39">
        <v>0</v>
      </c>
      <c r="O9" s="25">
        <f t="shared" si="2"/>
        <v>0</v>
      </c>
      <c r="P9" s="25">
        <f t="shared" si="3"/>
        <v>0</v>
      </c>
      <c r="Q9" s="26">
        <v>5</v>
      </c>
      <c r="R9" s="26">
        <v>0</v>
      </c>
      <c r="S9" s="27">
        <f t="shared" si="4"/>
        <v>0</v>
      </c>
      <c r="T9" s="27">
        <f t="shared" si="8"/>
        <v>0</v>
      </c>
      <c r="U9" s="28">
        <v>0</v>
      </c>
      <c r="V9" s="28">
        <v>0</v>
      </c>
      <c r="W9" s="38"/>
      <c r="X9" s="29">
        <f t="shared" si="6"/>
        <v>0</v>
      </c>
      <c r="Y9" s="20">
        <f t="shared" si="9"/>
        <v>0</v>
      </c>
      <c r="Z9" s="30">
        <f t="shared" si="7"/>
        <v>0</v>
      </c>
    </row>
    <row r="10" spans="1:29" ht="45" x14ac:dyDescent="0.25">
      <c r="A10" s="85" t="s">
        <v>19</v>
      </c>
      <c r="B10" s="10" t="s">
        <v>54</v>
      </c>
      <c r="C10" s="58">
        <v>459901900</v>
      </c>
      <c r="D10" s="58" t="s">
        <v>157</v>
      </c>
      <c r="E10" s="58" t="s">
        <v>149</v>
      </c>
      <c r="F10" s="58" t="s">
        <v>150</v>
      </c>
      <c r="G10" s="31">
        <v>0</v>
      </c>
      <c r="H10" s="31">
        <v>1</v>
      </c>
      <c r="I10" s="36">
        <v>0.4</v>
      </c>
      <c r="J10" s="36">
        <v>0.4</v>
      </c>
      <c r="K10" s="23">
        <f t="shared" si="0"/>
        <v>1</v>
      </c>
      <c r="L10" s="23">
        <f t="shared" si="1"/>
        <v>0.4</v>
      </c>
      <c r="M10" s="39">
        <v>0.2</v>
      </c>
      <c r="N10" s="39">
        <v>0.2</v>
      </c>
      <c r="O10" s="25">
        <f t="shared" si="2"/>
        <v>1</v>
      </c>
      <c r="P10" s="25">
        <f t="shared" si="3"/>
        <v>0.2</v>
      </c>
      <c r="Q10" s="40">
        <v>0.2</v>
      </c>
      <c r="R10" s="26">
        <v>0</v>
      </c>
      <c r="S10" s="27">
        <f t="shared" si="4"/>
        <v>0</v>
      </c>
      <c r="T10" s="27">
        <f t="shared" si="8"/>
        <v>0</v>
      </c>
      <c r="U10" s="41">
        <v>0.2</v>
      </c>
      <c r="V10" s="28">
        <v>0</v>
      </c>
      <c r="W10" s="29">
        <f t="shared" si="5"/>
        <v>0</v>
      </c>
      <c r="X10" s="29">
        <f t="shared" si="6"/>
        <v>0</v>
      </c>
      <c r="Y10" s="20">
        <f t="shared" si="9"/>
        <v>0.60000000000000009</v>
      </c>
      <c r="Z10" s="30">
        <f t="shared" si="7"/>
        <v>0.60000000000000009</v>
      </c>
    </row>
    <row r="11" spans="1:29" ht="45" x14ac:dyDescent="0.25">
      <c r="A11" s="85"/>
      <c r="B11" s="10" t="s">
        <v>55</v>
      </c>
      <c r="C11" s="58" t="s">
        <v>141</v>
      </c>
      <c r="D11" s="58" t="s">
        <v>158</v>
      </c>
      <c r="E11" s="58" t="s">
        <v>149</v>
      </c>
      <c r="F11" s="58" t="s">
        <v>150</v>
      </c>
      <c r="G11" s="31">
        <v>0</v>
      </c>
      <c r="H11" s="31">
        <v>7</v>
      </c>
      <c r="I11" s="32">
        <v>2</v>
      </c>
      <c r="J11" s="32">
        <v>0</v>
      </c>
      <c r="K11" s="23">
        <f t="shared" si="0"/>
        <v>0</v>
      </c>
      <c r="L11" s="23">
        <f t="shared" si="1"/>
        <v>0</v>
      </c>
      <c r="M11" s="34">
        <v>2</v>
      </c>
      <c r="N11" s="39">
        <v>2</v>
      </c>
      <c r="O11" s="25">
        <f t="shared" si="2"/>
        <v>1</v>
      </c>
      <c r="P11" s="25">
        <f t="shared" si="3"/>
        <v>0.2857142857142857</v>
      </c>
      <c r="Q11" s="26">
        <v>2</v>
      </c>
      <c r="R11" s="26">
        <v>0</v>
      </c>
      <c r="S11" s="27">
        <f t="shared" si="4"/>
        <v>0</v>
      </c>
      <c r="T11" s="27">
        <f t="shared" si="8"/>
        <v>0</v>
      </c>
      <c r="U11" s="28">
        <v>1</v>
      </c>
      <c r="V11" s="28">
        <v>0</v>
      </c>
      <c r="W11" s="29">
        <f t="shared" si="5"/>
        <v>0</v>
      </c>
      <c r="X11" s="29">
        <f t="shared" si="6"/>
        <v>0</v>
      </c>
      <c r="Y11" s="20">
        <f t="shared" si="9"/>
        <v>2</v>
      </c>
      <c r="Z11" s="30">
        <f t="shared" si="7"/>
        <v>0.2857142857142857</v>
      </c>
    </row>
    <row r="12" spans="1:29" ht="45" x14ac:dyDescent="0.25">
      <c r="A12" s="85"/>
      <c r="B12" s="10" t="s">
        <v>56</v>
      </c>
      <c r="C12" s="58" t="s">
        <v>142</v>
      </c>
      <c r="D12" s="58" t="s">
        <v>159</v>
      </c>
      <c r="E12" s="58" t="s">
        <v>149</v>
      </c>
      <c r="F12" s="58" t="s">
        <v>150</v>
      </c>
      <c r="G12" s="31">
        <v>0</v>
      </c>
      <c r="H12" s="31">
        <v>5</v>
      </c>
      <c r="I12" s="32">
        <v>0</v>
      </c>
      <c r="J12" s="32">
        <v>0</v>
      </c>
      <c r="K12" s="37"/>
      <c r="L12" s="23">
        <f t="shared" si="1"/>
        <v>0</v>
      </c>
      <c r="M12" s="34">
        <v>2</v>
      </c>
      <c r="N12" s="39">
        <v>0</v>
      </c>
      <c r="O12" s="25">
        <f t="shared" si="2"/>
        <v>0</v>
      </c>
      <c r="P12" s="25">
        <f t="shared" si="3"/>
        <v>0</v>
      </c>
      <c r="Q12" s="26">
        <v>2</v>
      </c>
      <c r="R12" s="26">
        <v>0</v>
      </c>
      <c r="S12" s="27">
        <f t="shared" si="4"/>
        <v>0</v>
      </c>
      <c r="T12" s="27">
        <f t="shared" si="8"/>
        <v>0</v>
      </c>
      <c r="U12" s="28">
        <v>1</v>
      </c>
      <c r="V12" s="28">
        <v>0</v>
      </c>
      <c r="W12" s="29">
        <f t="shared" si="5"/>
        <v>0</v>
      </c>
      <c r="X12" s="29">
        <f t="shared" si="6"/>
        <v>0</v>
      </c>
      <c r="Y12" s="20">
        <f t="shared" si="9"/>
        <v>0</v>
      </c>
      <c r="Z12" s="30">
        <f t="shared" si="7"/>
        <v>0</v>
      </c>
    </row>
    <row r="13" spans="1:29" ht="45" x14ac:dyDescent="0.25">
      <c r="A13" s="85"/>
      <c r="B13" s="10" t="s">
        <v>57</v>
      </c>
      <c r="C13" s="58">
        <v>360401301</v>
      </c>
      <c r="D13" s="58" t="s">
        <v>160</v>
      </c>
      <c r="E13" s="58" t="s">
        <v>149</v>
      </c>
      <c r="F13" s="58" t="s">
        <v>150</v>
      </c>
      <c r="G13" s="31">
        <v>0</v>
      </c>
      <c r="H13" s="31">
        <v>19</v>
      </c>
      <c r="I13" s="32">
        <v>4</v>
      </c>
      <c r="J13" s="32">
        <v>19</v>
      </c>
      <c r="K13" s="23">
        <f t="shared" si="0"/>
        <v>1</v>
      </c>
      <c r="L13" s="23">
        <f t="shared" si="1"/>
        <v>1</v>
      </c>
      <c r="M13" s="34">
        <v>5</v>
      </c>
      <c r="N13" s="39">
        <v>5</v>
      </c>
      <c r="O13" s="25">
        <f t="shared" si="2"/>
        <v>1</v>
      </c>
      <c r="P13" s="25">
        <f t="shared" si="3"/>
        <v>0.26315789473684209</v>
      </c>
      <c r="Q13" s="26">
        <v>5</v>
      </c>
      <c r="R13" s="26">
        <v>0</v>
      </c>
      <c r="S13" s="27">
        <f t="shared" si="4"/>
        <v>0</v>
      </c>
      <c r="T13" s="27">
        <f t="shared" si="8"/>
        <v>0</v>
      </c>
      <c r="U13" s="28">
        <v>5</v>
      </c>
      <c r="V13" s="28">
        <v>0</v>
      </c>
      <c r="W13" s="29">
        <f t="shared" si="5"/>
        <v>0</v>
      </c>
      <c r="X13" s="29">
        <f t="shared" si="6"/>
        <v>0</v>
      </c>
      <c r="Y13" s="20">
        <f t="shared" si="9"/>
        <v>24</v>
      </c>
      <c r="Z13" s="35">
        <f t="shared" si="7"/>
        <v>1</v>
      </c>
    </row>
    <row r="14" spans="1:29" ht="45" x14ac:dyDescent="0.25">
      <c r="A14" s="85"/>
      <c r="B14" s="10" t="s">
        <v>58</v>
      </c>
      <c r="C14" s="58">
        <v>459901700</v>
      </c>
      <c r="D14" s="58" t="s">
        <v>161</v>
      </c>
      <c r="E14" s="58" t="s">
        <v>149</v>
      </c>
      <c r="F14" s="58" t="s">
        <v>150</v>
      </c>
      <c r="G14" s="31">
        <v>0</v>
      </c>
      <c r="H14" s="31">
        <v>1</v>
      </c>
      <c r="I14" s="32">
        <v>0.25</v>
      </c>
      <c r="J14" s="36">
        <v>0.2</v>
      </c>
      <c r="K14" s="23">
        <f t="shared" si="0"/>
        <v>0.8</v>
      </c>
      <c r="L14" s="23">
        <f t="shared" si="1"/>
        <v>0.2</v>
      </c>
      <c r="M14" s="34">
        <v>0.25</v>
      </c>
      <c r="N14" s="39">
        <v>0.25</v>
      </c>
      <c r="O14" s="25">
        <f t="shared" si="2"/>
        <v>1</v>
      </c>
      <c r="P14" s="25">
        <f t="shared" si="3"/>
        <v>0.25</v>
      </c>
      <c r="Q14" s="26">
        <v>0.25</v>
      </c>
      <c r="R14" s="26">
        <v>0</v>
      </c>
      <c r="S14" s="27">
        <f t="shared" si="4"/>
        <v>0</v>
      </c>
      <c r="T14" s="27">
        <f t="shared" si="8"/>
        <v>0</v>
      </c>
      <c r="U14" s="28">
        <v>0.25</v>
      </c>
      <c r="V14" s="28">
        <v>0</v>
      </c>
      <c r="W14" s="29">
        <f t="shared" si="5"/>
        <v>0</v>
      </c>
      <c r="X14" s="29">
        <f t="shared" si="6"/>
        <v>0</v>
      </c>
      <c r="Y14" s="20">
        <f t="shared" si="9"/>
        <v>0.45</v>
      </c>
      <c r="Z14" s="30">
        <f t="shared" si="7"/>
        <v>0.45</v>
      </c>
    </row>
    <row r="15" spans="1:29" ht="45" x14ac:dyDescent="0.25">
      <c r="A15" s="85"/>
      <c r="B15" s="10" t="s">
        <v>59</v>
      </c>
      <c r="C15" s="58" t="s">
        <v>143</v>
      </c>
      <c r="D15" s="58" t="s">
        <v>162</v>
      </c>
      <c r="E15" s="58" t="s">
        <v>149</v>
      </c>
      <c r="F15" s="58" t="s">
        <v>150</v>
      </c>
      <c r="G15" s="31">
        <v>0</v>
      </c>
      <c r="H15" s="31">
        <v>1</v>
      </c>
      <c r="I15" s="32">
        <v>0.25</v>
      </c>
      <c r="J15" s="32">
        <v>0.25</v>
      </c>
      <c r="K15" s="23">
        <f>IF((J15/I15)&gt;1,1,J15/I15)</f>
        <v>1</v>
      </c>
      <c r="L15" s="23">
        <f t="shared" si="1"/>
        <v>0.25</v>
      </c>
      <c r="M15" s="34">
        <v>0.25</v>
      </c>
      <c r="N15" s="39">
        <v>0.25</v>
      </c>
      <c r="O15" s="25">
        <f t="shared" si="2"/>
        <v>1</v>
      </c>
      <c r="P15" s="25">
        <f t="shared" si="3"/>
        <v>0.25</v>
      </c>
      <c r="Q15" s="26">
        <v>0.25</v>
      </c>
      <c r="R15" s="26">
        <v>0</v>
      </c>
      <c r="S15" s="27">
        <f t="shared" si="4"/>
        <v>0</v>
      </c>
      <c r="T15" s="27">
        <f t="shared" si="8"/>
        <v>0</v>
      </c>
      <c r="U15" s="28">
        <v>0.25</v>
      </c>
      <c r="V15" s="28">
        <v>0</v>
      </c>
      <c r="W15" s="29">
        <f t="shared" si="5"/>
        <v>0</v>
      </c>
      <c r="X15" s="29">
        <f t="shared" si="6"/>
        <v>0</v>
      </c>
      <c r="Y15" s="20">
        <f t="shared" si="9"/>
        <v>0.5</v>
      </c>
      <c r="Z15" s="30">
        <f t="shared" si="7"/>
        <v>0.5</v>
      </c>
    </row>
    <row r="16" spans="1:29" ht="31.5" x14ac:dyDescent="0.25">
      <c r="A16" s="85"/>
      <c r="B16" s="10" t="s">
        <v>60</v>
      </c>
      <c r="C16" s="58">
        <v>459900200</v>
      </c>
      <c r="D16" s="58" t="s">
        <v>163</v>
      </c>
      <c r="E16" s="58" t="s">
        <v>164</v>
      </c>
      <c r="F16" s="58" t="s">
        <v>150</v>
      </c>
      <c r="G16" s="31">
        <v>0</v>
      </c>
      <c r="H16" s="31">
        <v>1</v>
      </c>
      <c r="I16" s="32">
        <v>0.25</v>
      </c>
      <c r="J16" s="36">
        <v>0.1</v>
      </c>
      <c r="K16" s="23">
        <f t="shared" si="0"/>
        <v>0.4</v>
      </c>
      <c r="L16" s="23">
        <f t="shared" si="1"/>
        <v>0.1</v>
      </c>
      <c r="M16" s="34">
        <v>0.25</v>
      </c>
      <c r="N16" s="39">
        <v>0.25</v>
      </c>
      <c r="O16" s="25">
        <f>IF((N16/M16)&gt;1,1,N16/M16)</f>
        <v>1</v>
      </c>
      <c r="P16" s="25">
        <f t="shared" si="3"/>
        <v>0.25</v>
      </c>
      <c r="Q16" s="26">
        <v>0.25</v>
      </c>
      <c r="R16" s="26">
        <v>0</v>
      </c>
      <c r="S16" s="27">
        <f t="shared" si="4"/>
        <v>0</v>
      </c>
      <c r="T16" s="27">
        <f t="shared" si="8"/>
        <v>0</v>
      </c>
      <c r="U16" s="28">
        <v>0.25</v>
      </c>
      <c r="V16" s="28">
        <v>0</v>
      </c>
      <c r="W16" s="29">
        <f t="shared" si="5"/>
        <v>0</v>
      </c>
      <c r="X16" s="29">
        <f t="shared" si="6"/>
        <v>0</v>
      </c>
      <c r="Y16" s="20">
        <f t="shared" si="9"/>
        <v>0.35</v>
      </c>
      <c r="Z16" s="30">
        <f t="shared" si="7"/>
        <v>0.35</v>
      </c>
    </row>
    <row r="17" spans="1:30" ht="30" x14ac:dyDescent="0.25">
      <c r="A17" s="85"/>
      <c r="B17" s="10" t="s">
        <v>61</v>
      </c>
      <c r="C17" s="58">
        <v>459901900</v>
      </c>
      <c r="D17" s="58" t="s">
        <v>157</v>
      </c>
      <c r="E17" s="58" t="s">
        <v>149</v>
      </c>
      <c r="F17" s="58" t="s">
        <v>150</v>
      </c>
      <c r="G17" s="31">
        <v>0</v>
      </c>
      <c r="H17" s="31">
        <v>1</v>
      </c>
      <c r="I17" s="32">
        <v>0</v>
      </c>
      <c r="J17" s="32">
        <v>0</v>
      </c>
      <c r="K17" s="37"/>
      <c r="L17" s="23">
        <f t="shared" si="1"/>
        <v>0</v>
      </c>
      <c r="M17" s="34">
        <v>1</v>
      </c>
      <c r="N17" s="39">
        <v>0.1</v>
      </c>
      <c r="O17" s="25">
        <f t="shared" ref="O17" si="10">IF((N17/M17)&gt;1,1,N17/M17)</f>
        <v>0.1</v>
      </c>
      <c r="P17" s="25">
        <v>0</v>
      </c>
      <c r="Q17" s="26">
        <v>0</v>
      </c>
      <c r="R17" s="26">
        <v>0</v>
      </c>
      <c r="S17" s="42"/>
      <c r="T17" s="27">
        <f t="shared" si="8"/>
        <v>0</v>
      </c>
      <c r="U17" s="28">
        <v>0</v>
      </c>
      <c r="V17" s="28">
        <v>0</v>
      </c>
      <c r="W17" s="38"/>
      <c r="X17" s="29">
        <f t="shared" si="6"/>
        <v>0</v>
      </c>
      <c r="Y17" s="20">
        <f t="shared" si="9"/>
        <v>0.1</v>
      </c>
      <c r="Z17" s="30">
        <f t="shared" si="7"/>
        <v>0.1</v>
      </c>
    </row>
    <row r="18" spans="1:30" ht="45" x14ac:dyDescent="0.25">
      <c r="A18" s="85"/>
      <c r="B18" s="10" t="s">
        <v>62</v>
      </c>
      <c r="C18" s="58">
        <v>459901900</v>
      </c>
      <c r="D18" s="58" t="s">
        <v>157</v>
      </c>
      <c r="E18" s="58" t="s">
        <v>149</v>
      </c>
      <c r="F18" s="58" t="s">
        <v>150</v>
      </c>
      <c r="G18" s="31">
        <v>0</v>
      </c>
      <c r="H18" s="31">
        <v>2</v>
      </c>
      <c r="I18" s="32">
        <v>0</v>
      </c>
      <c r="J18" s="32">
        <v>0</v>
      </c>
      <c r="K18" s="37"/>
      <c r="L18" s="23">
        <f t="shared" si="1"/>
        <v>0</v>
      </c>
      <c r="M18" s="34">
        <v>0</v>
      </c>
      <c r="N18" s="39">
        <v>0.1</v>
      </c>
      <c r="O18" s="43"/>
      <c r="P18" s="25">
        <v>0</v>
      </c>
      <c r="Q18" s="26">
        <v>1</v>
      </c>
      <c r="R18" s="26">
        <v>0</v>
      </c>
      <c r="S18" s="27">
        <f t="shared" si="4"/>
        <v>0</v>
      </c>
      <c r="T18" s="27">
        <f t="shared" si="8"/>
        <v>0</v>
      </c>
      <c r="U18" s="28">
        <v>1</v>
      </c>
      <c r="V18" s="28">
        <v>0</v>
      </c>
      <c r="W18" s="29">
        <f t="shared" si="5"/>
        <v>0</v>
      </c>
      <c r="X18" s="29">
        <f t="shared" si="6"/>
        <v>0</v>
      </c>
      <c r="Y18" s="20">
        <f t="shared" si="9"/>
        <v>0.1</v>
      </c>
      <c r="Z18" s="30">
        <f t="shared" si="7"/>
        <v>0.05</v>
      </c>
    </row>
    <row r="19" spans="1:30" ht="45" x14ac:dyDescent="0.25">
      <c r="A19" s="85"/>
      <c r="B19" s="10" t="s">
        <v>63</v>
      </c>
      <c r="C19" s="58" t="s">
        <v>144</v>
      </c>
      <c r="D19" s="58" t="s">
        <v>165</v>
      </c>
      <c r="E19" s="58" t="s">
        <v>149</v>
      </c>
      <c r="F19" s="58" t="s">
        <v>150</v>
      </c>
      <c r="G19" s="31">
        <v>0</v>
      </c>
      <c r="H19" s="31">
        <v>1</v>
      </c>
      <c r="I19" s="32">
        <v>0</v>
      </c>
      <c r="J19" s="32">
        <v>0.3</v>
      </c>
      <c r="K19" s="37"/>
      <c r="L19" s="23">
        <f t="shared" si="1"/>
        <v>0.3</v>
      </c>
      <c r="M19" s="34">
        <v>1</v>
      </c>
      <c r="N19" s="39">
        <v>0.7</v>
      </c>
      <c r="O19" s="25">
        <f t="shared" si="2"/>
        <v>0.7</v>
      </c>
      <c r="P19" s="25">
        <f t="shared" si="3"/>
        <v>0.7</v>
      </c>
      <c r="Q19" s="26">
        <v>0</v>
      </c>
      <c r="R19" s="26">
        <v>0</v>
      </c>
      <c r="S19" s="42"/>
      <c r="T19" s="27">
        <f t="shared" si="8"/>
        <v>0</v>
      </c>
      <c r="U19" s="28">
        <v>0</v>
      </c>
      <c r="V19" s="28">
        <v>0</v>
      </c>
      <c r="W19" s="38"/>
      <c r="X19" s="29">
        <f t="shared" si="6"/>
        <v>0</v>
      </c>
      <c r="Y19" s="20">
        <f t="shared" si="9"/>
        <v>1</v>
      </c>
      <c r="Z19" s="35">
        <f t="shared" si="7"/>
        <v>1</v>
      </c>
    </row>
    <row r="20" spans="1:30" ht="60" x14ac:dyDescent="0.25">
      <c r="A20" s="85"/>
      <c r="B20" s="10" t="s">
        <v>64</v>
      </c>
      <c r="C20" s="58" t="s">
        <v>145</v>
      </c>
      <c r="D20" s="58" t="s">
        <v>166</v>
      </c>
      <c r="E20" s="58" t="s">
        <v>149</v>
      </c>
      <c r="F20" s="58" t="s">
        <v>150</v>
      </c>
      <c r="G20" s="31">
        <v>0</v>
      </c>
      <c r="H20" s="31">
        <v>4</v>
      </c>
      <c r="I20" s="32">
        <v>1</v>
      </c>
      <c r="J20" s="32">
        <v>1</v>
      </c>
      <c r="K20" s="23">
        <f>IF((J20/I20)&gt;1,1,J20/I20)</f>
        <v>1</v>
      </c>
      <c r="L20" s="23">
        <f t="shared" si="1"/>
        <v>0.25</v>
      </c>
      <c r="M20" s="34">
        <v>1</v>
      </c>
      <c r="N20" s="39">
        <v>1</v>
      </c>
      <c r="O20" s="25">
        <f t="shared" si="2"/>
        <v>1</v>
      </c>
      <c r="P20" s="25">
        <f t="shared" si="3"/>
        <v>0.25</v>
      </c>
      <c r="Q20" s="26">
        <v>1</v>
      </c>
      <c r="R20" s="26">
        <v>0</v>
      </c>
      <c r="S20" s="27">
        <f t="shared" si="4"/>
        <v>0</v>
      </c>
      <c r="T20" s="27">
        <f t="shared" si="8"/>
        <v>0</v>
      </c>
      <c r="U20" s="28">
        <v>1</v>
      </c>
      <c r="V20" s="28">
        <v>0</v>
      </c>
      <c r="W20" s="29">
        <f t="shared" si="5"/>
        <v>0</v>
      </c>
      <c r="X20" s="29">
        <f t="shared" si="6"/>
        <v>0</v>
      </c>
      <c r="Y20" s="20">
        <f t="shared" si="9"/>
        <v>2</v>
      </c>
      <c r="Z20" s="30">
        <f t="shared" si="7"/>
        <v>0.5</v>
      </c>
    </row>
    <row r="21" spans="1:30" ht="30" x14ac:dyDescent="0.25">
      <c r="A21" s="85"/>
      <c r="B21" s="10" t="s">
        <v>65</v>
      </c>
      <c r="C21" s="58" t="s">
        <v>146</v>
      </c>
      <c r="D21" s="58" t="s">
        <v>166</v>
      </c>
      <c r="E21" s="58" t="s">
        <v>149</v>
      </c>
      <c r="F21" s="58" t="s">
        <v>150</v>
      </c>
      <c r="G21" s="31">
        <v>0</v>
      </c>
      <c r="H21" s="31">
        <v>1</v>
      </c>
      <c r="I21" s="32">
        <v>0.25</v>
      </c>
      <c r="J21" s="32">
        <v>0</v>
      </c>
      <c r="K21" s="23">
        <f>IF((J21/I21)&gt;1,1,J21/I21)</f>
        <v>0</v>
      </c>
      <c r="L21" s="23">
        <f t="shared" si="1"/>
        <v>0</v>
      </c>
      <c r="M21" s="34">
        <v>0.25</v>
      </c>
      <c r="N21" s="39">
        <v>0.75</v>
      </c>
      <c r="O21" s="25">
        <f t="shared" si="2"/>
        <v>1</v>
      </c>
      <c r="P21" s="25">
        <f t="shared" si="3"/>
        <v>0.75</v>
      </c>
      <c r="Q21" s="26">
        <v>0.25</v>
      </c>
      <c r="R21" s="26">
        <v>0</v>
      </c>
      <c r="S21" s="27">
        <f t="shared" si="4"/>
        <v>0</v>
      </c>
      <c r="T21" s="27">
        <f t="shared" si="8"/>
        <v>0</v>
      </c>
      <c r="U21" s="28">
        <v>0.25</v>
      </c>
      <c r="V21" s="28">
        <v>0</v>
      </c>
      <c r="W21" s="29">
        <f t="shared" si="5"/>
        <v>0</v>
      </c>
      <c r="X21" s="29">
        <f t="shared" si="6"/>
        <v>0</v>
      </c>
      <c r="Y21" s="20">
        <f t="shared" si="9"/>
        <v>0.75</v>
      </c>
      <c r="Z21" s="35">
        <f t="shared" si="7"/>
        <v>0.75</v>
      </c>
    </row>
    <row r="22" spans="1:30" ht="45" x14ac:dyDescent="0.25">
      <c r="A22" s="85" t="s">
        <v>20</v>
      </c>
      <c r="B22" s="10" t="s">
        <v>66</v>
      </c>
      <c r="C22" s="58">
        <v>190501500</v>
      </c>
      <c r="D22" s="58" t="s">
        <v>167</v>
      </c>
      <c r="E22" s="58" t="s">
        <v>149</v>
      </c>
      <c r="F22" s="58" t="s">
        <v>150</v>
      </c>
      <c r="G22" s="2">
        <v>0</v>
      </c>
      <c r="H22" s="2">
        <v>1</v>
      </c>
      <c r="I22" s="32">
        <v>0.25</v>
      </c>
      <c r="J22" s="32">
        <v>0.25</v>
      </c>
      <c r="K22" s="23">
        <f t="shared" si="0"/>
        <v>1</v>
      </c>
      <c r="L22" s="23">
        <f t="shared" si="1"/>
        <v>0.25</v>
      </c>
      <c r="M22" s="34">
        <v>0.25</v>
      </c>
      <c r="N22" s="39">
        <v>0.25</v>
      </c>
      <c r="O22" s="25">
        <f t="shared" si="2"/>
        <v>1</v>
      </c>
      <c r="P22" s="25">
        <f t="shared" si="3"/>
        <v>0.25</v>
      </c>
      <c r="Q22" s="26">
        <v>0.25</v>
      </c>
      <c r="R22" s="26">
        <v>0</v>
      </c>
      <c r="S22" s="27">
        <f t="shared" si="4"/>
        <v>0</v>
      </c>
      <c r="T22" s="27">
        <f t="shared" si="8"/>
        <v>0</v>
      </c>
      <c r="U22" s="28">
        <v>0.25</v>
      </c>
      <c r="V22" s="28">
        <v>0</v>
      </c>
      <c r="W22" s="29">
        <f t="shared" si="5"/>
        <v>0</v>
      </c>
      <c r="X22" s="29">
        <f t="shared" si="6"/>
        <v>0</v>
      </c>
      <c r="Y22" s="20">
        <f t="shared" si="9"/>
        <v>0.5</v>
      </c>
      <c r="Z22" s="30">
        <f t="shared" si="7"/>
        <v>0.5</v>
      </c>
    </row>
    <row r="23" spans="1:30" ht="30" x14ac:dyDescent="0.25">
      <c r="A23" s="85"/>
      <c r="B23" s="10" t="s">
        <v>67</v>
      </c>
      <c r="C23" s="58">
        <v>190501505</v>
      </c>
      <c r="D23" s="58" t="s">
        <v>153</v>
      </c>
      <c r="E23" s="58" t="s">
        <v>149</v>
      </c>
      <c r="F23" s="58" t="s">
        <v>150</v>
      </c>
      <c r="G23" s="2">
        <v>0</v>
      </c>
      <c r="H23" s="31">
        <v>1</v>
      </c>
      <c r="I23" s="32">
        <v>0.25</v>
      </c>
      <c r="J23" s="32">
        <v>0.25</v>
      </c>
      <c r="K23" s="23">
        <f t="shared" si="0"/>
        <v>1</v>
      </c>
      <c r="L23" s="23">
        <f t="shared" si="1"/>
        <v>0.25</v>
      </c>
      <c r="M23" s="34">
        <v>0.25</v>
      </c>
      <c r="N23" s="84">
        <v>0.25</v>
      </c>
      <c r="O23" s="25">
        <f t="shared" si="2"/>
        <v>1</v>
      </c>
      <c r="P23" s="25">
        <f t="shared" si="3"/>
        <v>0.25</v>
      </c>
      <c r="Q23" s="26">
        <v>0.25</v>
      </c>
      <c r="R23" s="26">
        <v>0</v>
      </c>
      <c r="S23" s="27">
        <f t="shared" si="4"/>
        <v>0</v>
      </c>
      <c r="T23" s="27">
        <f t="shared" si="8"/>
        <v>0</v>
      </c>
      <c r="U23" s="28">
        <v>0.25</v>
      </c>
      <c r="V23" s="28">
        <v>0</v>
      </c>
      <c r="W23" s="29">
        <f t="shared" si="5"/>
        <v>0</v>
      </c>
      <c r="X23" s="29">
        <f t="shared" si="6"/>
        <v>0</v>
      </c>
      <c r="Y23" s="20">
        <f t="shared" si="9"/>
        <v>0.5</v>
      </c>
      <c r="Z23" s="30">
        <f t="shared" si="7"/>
        <v>0.5</v>
      </c>
    </row>
    <row r="24" spans="1:30" ht="30" x14ac:dyDescent="0.25">
      <c r="A24" s="85"/>
      <c r="B24" s="10" t="s">
        <v>68</v>
      </c>
      <c r="C24" s="58" t="s">
        <v>147</v>
      </c>
      <c r="D24" s="58" t="s">
        <v>153</v>
      </c>
      <c r="E24" s="58" t="s">
        <v>149</v>
      </c>
      <c r="F24" s="58" t="s">
        <v>150</v>
      </c>
      <c r="G24" s="2">
        <v>0</v>
      </c>
      <c r="H24" s="31">
        <v>1</v>
      </c>
      <c r="I24" s="32">
        <v>0.25</v>
      </c>
      <c r="J24" s="32">
        <v>0.18</v>
      </c>
      <c r="K24" s="23">
        <f t="shared" si="0"/>
        <v>0.72</v>
      </c>
      <c r="L24" s="23">
        <f t="shared" si="1"/>
        <v>0.18</v>
      </c>
      <c r="M24" s="34">
        <v>0.25</v>
      </c>
      <c r="N24" s="84">
        <v>0.25</v>
      </c>
      <c r="O24" s="25">
        <f t="shared" si="2"/>
        <v>1</v>
      </c>
      <c r="P24" s="25">
        <f t="shared" si="3"/>
        <v>0.25</v>
      </c>
      <c r="Q24" s="26">
        <v>0.25</v>
      </c>
      <c r="R24" s="26">
        <v>0</v>
      </c>
      <c r="S24" s="27">
        <f t="shared" si="4"/>
        <v>0</v>
      </c>
      <c r="T24" s="27">
        <f t="shared" si="8"/>
        <v>0</v>
      </c>
      <c r="U24" s="28">
        <v>0.25</v>
      </c>
      <c r="V24" s="28">
        <v>0</v>
      </c>
      <c r="W24" s="29">
        <f t="shared" si="5"/>
        <v>0</v>
      </c>
      <c r="X24" s="29">
        <f t="shared" si="6"/>
        <v>0</v>
      </c>
      <c r="Y24" s="20">
        <f t="shared" si="9"/>
        <v>0.43</v>
      </c>
      <c r="Z24" s="30">
        <f t="shared" si="7"/>
        <v>0.43</v>
      </c>
    </row>
    <row r="25" spans="1:30" ht="31.5" x14ac:dyDescent="0.25">
      <c r="A25" s="85"/>
      <c r="B25" s="10" t="s">
        <v>69</v>
      </c>
      <c r="C25" s="58">
        <v>190600600</v>
      </c>
      <c r="D25" s="58" t="s">
        <v>168</v>
      </c>
      <c r="E25" s="58" t="s">
        <v>149</v>
      </c>
      <c r="F25" s="58" t="s">
        <v>150</v>
      </c>
      <c r="G25" s="2">
        <v>0</v>
      </c>
      <c r="H25" s="31">
        <v>1</v>
      </c>
      <c r="I25" s="32">
        <v>0.25</v>
      </c>
      <c r="J25" s="32">
        <v>0.12</v>
      </c>
      <c r="K25" s="23">
        <f t="shared" si="0"/>
        <v>0.48</v>
      </c>
      <c r="L25" s="23">
        <f t="shared" si="1"/>
        <v>0.12</v>
      </c>
      <c r="M25" s="34">
        <v>0.25</v>
      </c>
      <c r="N25" s="84">
        <v>0</v>
      </c>
      <c r="O25" s="25">
        <f t="shared" si="2"/>
        <v>0</v>
      </c>
      <c r="P25" s="25">
        <f t="shared" si="3"/>
        <v>0</v>
      </c>
      <c r="Q25" s="26">
        <v>0.25</v>
      </c>
      <c r="R25" s="26">
        <v>0</v>
      </c>
      <c r="S25" s="27">
        <f t="shared" si="4"/>
        <v>0</v>
      </c>
      <c r="T25" s="27">
        <f t="shared" si="8"/>
        <v>0</v>
      </c>
      <c r="U25" s="28">
        <v>0.25</v>
      </c>
      <c r="V25" s="28">
        <v>0</v>
      </c>
      <c r="W25" s="29">
        <f t="shared" si="5"/>
        <v>0</v>
      </c>
      <c r="X25" s="29">
        <f t="shared" si="6"/>
        <v>0</v>
      </c>
      <c r="Y25" s="20">
        <f t="shared" si="9"/>
        <v>0.12</v>
      </c>
      <c r="Z25" s="30">
        <f t="shared" si="7"/>
        <v>0.12</v>
      </c>
    </row>
    <row r="26" spans="1:30" ht="31.5" x14ac:dyDescent="0.25">
      <c r="A26" s="85" t="s">
        <v>21</v>
      </c>
      <c r="B26" s="10" t="s">
        <v>70</v>
      </c>
      <c r="C26" s="58">
        <v>450200113</v>
      </c>
      <c r="D26" s="58" t="s">
        <v>169</v>
      </c>
      <c r="E26" s="58" t="s">
        <v>149</v>
      </c>
      <c r="F26" s="58" t="s">
        <v>150</v>
      </c>
      <c r="G26" s="31">
        <v>0</v>
      </c>
      <c r="H26" s="31">
        <v>4</v>
      </c>
      <c r="I26" s="32">
        <v>1</v>
      </c>
      <c r="J26" s="36">
        <v>0.5</v>
      </c>
      <c r="K26" s="23">
        <f t="shared" si="0"/>
        <v>0.5</v>
      </c>
      <c r="L26" s="23">
        <f t="shared" si="1"/>
        <v>0.125</v>
      </c>
      <c r="M26" s="34">
        <v>1</v>
      </c>
      <c r="N26" s="84">
        <v>1</v>
      </c>
      <c r="O26" s="25">
        <f t="shared" si="2"/>
        <v>1</v>
      </c>
      <c r="P26" s="25">
        <f t="shared" si="3"/>
        <v>0.25</v>
      </c>
      <c r="Q26" s="26">
        <v>1</v>
      </c>
      <c r="R26" s="26">
        <v>0</v>
      </c>
      <c r="S26" s="27">
        <f t="shared" si="4"/>
        <v>0</v>
      </c>
      <c r="T26" s="27">
        <f t="shared" si="8"/>
        <v>0</v>
      </c>
      <c r="U26" s="28">
        <v>1</v>
      </c>
      <c r="V26" s="28">
        <v>0</v>
      </c>
      <c r="W26" s="29">
        <f t="shared" si="5"/>
        <v>0</v>
      </c>
      <c r="X26" s="29">
        <f t="shared" si="6"/>
        <v>0</v>
      </c>
      <c r="Y26" s="20">
        <f t="shared" si="9"/>
        <v>1.5</v>
      </c>
      <c r="Z26" s="30">
        <f t="shared" si="7"/>
        <v>0.375</v>
      </c>
      <c r="AD26" s="11"/>
    </row>
    <row r="27" spans="1:30" ht="30" x14ac:dyDescent="0.25">
      <c r="A27" s="85"/>
      <c r="B27" s="10" t="s">
        <v>71</v>
      </c>
      <c r="C27" s="58">
        <v>450200700</v>
      </c>
      <c r="D27" s="58" t="s">
        <v>170</v>
      </c>
      <c r="E27" s="58" t="s">
        <v>149</v>
      </c>
      <c r="F27" s="58" t="s">
        <v>150</v>
      </c>
      <c r="G27" s="31">
        <v>0</v>
      </c>
      <c r="H27" s="31">
        <v>2</v>
      </c>
      <c r="I27" s="32">
        <v>0</v>
      </c>
      <c r="J27" s="32">
        <v>0</v>
      </c>
      <c r="K27" s="37"/>
      <c r="L27" s="23">
        <f t="shared" si="1"/>
        <v>0</v>
      </c>
      <c r="M27" s="34">
        <v>2</v>
      </c>
      <c r="N27" s="84">
        <v>2</v>
      </c>
      <c r="O27" s="25">
        <f t="shared" si="2"/>
        <v>1</v>
      </c>
      <c r="P27" s="25">
        <f t="shared" si="3"/>
        <v>1</v>
      </c>
      <c r="Q27" s="26">
        <v>0</v>
      </c>
      <c r="R27" s="26">
        <v>0</v>
      </c>
      <c r="S27" s="42"/>
      <c r="T27" s="27">
        <f t="shared" si="8"/>
        <v>0</v>
      </c>
      <c r="U27" s="28">
        <v>0</v>
      </c>
      <c r="V27" s="28">
        <v>0</v>
      </c>
      <c r="W27" s="38"/>
      <c r="X27" s="29">
        <f t="shared" si="6"/>
        <v>0</v>
      </c>
      <c r="Y27" s="20">
        <f t="shared" si="9"/>
        <v>2</v>
      </c>
      <c r="Z27" s="35">
        <f t="shared" si="7"/>
        <v>1</v>
      </c>
    </row>
    <row r="28" spans="1:30" ht="52.5" x14ac:dyDescent="0.25">
      <c r="J28" s="71" t="s">
        <v>35</v>
      </c>
      <c r="K28" s="78">
        <f>AVERAGE(K3:K27)</f>
        <v>0.70000000000000007</v>
      </c>
      <c r="L28" s="78">
        <f>AVERAGE(L3:L27)</f>
        <v>0.20300000000000001</v>
      </c>
      <c r="M28" s="72"/>
      <c r="N28" s="71" t="s">
        <v>36</v>
      </c>
      <c r="O28" s="75">
        <f>AVERAGE(O3:O27)</f>
        <v>0.79208333333333325</v>
      </c>
      <c r="P28" s="75">
        <f>AVERAGE(P3:P27)</f>
        <v>0.29005488721804512</v>
      </c>
      <c r="Q28" s="73"/>
      <c r="R28" s="63" t="s">
        <v>45</v>
      </c>
      <c r="S28" s="76">
        <f>AVERAGE(S3:S27)</f>
        <v>0</v>
      </c>
      <c r="T28" s="77">
        <f>AVERAGE(T3:T27)</f>
        <v>0</v>
      </c>
      <c r="U28" s="74"/>
      <c r="V28" s="63" t="s">
        <v>45</v>
      </c>
      <c r="W28" s="76">
        <f>AVERAGE(W3:W27)</f>
        <v>0</v>
      </c>
      <c r="X28" s="76">
        <f>AVERAGE(X3:X27)</f>
        <v>0</v>
      </c>
      <c r="Y28" s="71" t="s">
        <v>46</v>
      </c>
      <c r="Z28" s="16">
        <f>AVERAGE(Z3:Z27)</f>
        <v>0.45652857142857139</v>
      </c>
    </row>
    <row r="29" spans="1:30" x14ac:dyDescent="0.25">
      <c r="Z29" s="8"/>
    </row>
    <row r="30" spans="1:30" x14ac:dyDescent="0.25">
      <c r="L30"/>
      <c r="P30"/>
      <c r="Q30"/>
      <c r="R30"/>
      <c r="S30"/>
      <c r="T30"/>
      <c r="U30"/>
      <c r="V30"/>
      <c r="W30"/>
      <c r="X30"/>
    </row>
    <row r="32" spans="1:30" x14ac:dyDescent="0.25">
      <c r="L32" s="1"/>
      <c r="P32" s="9"/>
      <c r="Q32" s="9"/>
      <c r="R32" s="9"/>
      <c r="S32" s="9"/>
      <c r="T32" s="9"/>
      <c r="U32" s="9"/>
      <c r="V32" s="9"/>
      <c r="W32" s="9"/>
      <c r="X32" s="9"/>
    </row>
    <row r="33" spans="12:24" x14ac:dyDescent="0.25">
      <c r="L33" s="1"/>
      <c r="P33" s="9"/>
      <c r="Q33" s="9"/>
      <c r="R33" s="9"/>
      <c r="S33" s="9"/>
      <c r="T33" s="9"/>
      <c r="U33" s="9"/>
      <c r="V33" s="9"/>
      <c r="W33" s="9"/>
      <c r="X33" s="9"/>
    </row>
  </sheetData>
  <autoFilter ref="F1:F33" xr:uid="{E9E24A84-3252-4C62-931A-E0385446CDA2}"/>
  <mergeCells count="7">
    <mergeCell ref="A22:A25"/>
    <mergeCell ref="A26:A27"/>
    <mergeCell ref="AA2:AC2"/>
    <mergeCell ref="A1:AC1"/>
    <mergeCell ref="A3:A5"/>
    <mergeCell ref="A6:A9"/>
    <mergeCell ref="A10:A2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79B0-1CEE-4591-A48B-3214D4C6588E}">
  <dimension ref="A1:AD39"/>
  <sheetViews>
    <sheetView topLeftCell="I1" zoomScale="53" zoomScaleNormal="53" workbookViewId="0">
      <selection activeCell="O3" sqref="O3:O33"/>
    </sheetView>
  </sheetViews>
  <sheetFormatPr baseColWidth="10" defaultColWidth="54.5703125" defaultRowHeight="15.75" x14ac:dyDescent="0.25"/>
  <cols>
    <col min="1" max="1" width="35.28515625" style="15" customWidth="1"/>
    <col min="2" max="2" width="46" style="5" customWidth="1"/>
    <col min="3" max="3" width="67.140625" style="6" customWidth="1"/>
    <col min="4" max="4" width="22.28515625" customWidth="1"/>
    <col min="5" max="5" width="39.7109375" style="6" customWidth="1"/>
    <col min="6" max="6" width="21.5703125" customWidth="1"/>
    <col min="7" max="7" width="20.140625" style="7" customWidth="1"/>
    <col min="8" max="8" width="13.85546875" style="7" customWidth="1"/>
    <col min="9" max="9" width="19.85546875" customWidth="1"/>
    <col min="10" max="10" width="15.140625" style="5" customWidth="1"/>
    <col min="11" max="11" width="19.42578125" style="5" customWidth="1"/>
    <col min="12" max="12" width="31.7109375" style="5" customWidth="1"/>
    <col min="13" max="13" width="24.42578125" style="5" customWidth="1"/>
    <col min="14" max="14" width="14.140625" style="5" customWidth="1"/>
    <col min="15" max="15" width="19.42578125" customWidth="1"/>
    <col min="16" max="16" width="31.5703125" style="5" customWidth="1"/>
    <col min="17" max="17" width="20.28515625" style="5" customWidth="1"/>
    <col min="18" max="18" width="13.42578125" style="5" customWidth="1"/>
    <col min="19" max="19" width="19.42578125" style="5" customWidth="1"/>
    <col min="20" max="20" width="28.85546875" style="5" customWidth="1"/>
    <col min="21" max="21" width="18.42578125" style="5" customWidth="1"/>
    <col min="22" max="22" width="12.7109375" style="5" customWidth="1"/>
    <col min="23" max="23" width="19.42578125" style="5" customWidth="1"/>
    <col min="24" max="24" width="30" style="5" customWidth="1"/>
    <col min="25" max="25" width="19.7109375" style="5" customWidth="1"/>
    <col min="26" max="26" width="39.28515625" customWidth="1"/>
    <col min="27" max="27" width="31.5703125" customWidth="1"/>
    <col min="28" max="28" width="80.140625" customWidth="1"/>
    <col min="29" max="29" width="30.42578125" customWidth="1"/>
    <col min="30" max="30" width="27" customWidth="1"/>
  </cols>
  <sheetData>
    <row r="1" spans="1:30" s="15" customFormat="1" ht="73.5" customHeight="1" x14ac:dyDescent="0.25">
      <c r="A1" s="87" t="s">
        <v>242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</row>
    <row r="2" spans="1:30" s="15" customFormat="1" ht="78.75" customHeight="1" x14ac:dyDescent="0.25">
      <c r="A2" s="63" t="s">
        <v>15</v>
      </c>
      <c r="B2" s="63" t="s">
        <v>0</v>
      </c>
      <c r="C2" s="64" t="s">
        <v>1</v>
      </c>
      <c r="D2" s="64" t="s">
        <v>2</v>
      </c>
      <c r="E2" s="64" t="s">
        <v>3</v>
      </c>
      <c r="F2" s="64" t="s">
        <v>4</v>
      </c>
      <c r="G2" s="64" t="s">
        <v>5</v>
      </c>
      <c r="H2" s="64" t="s">
        <v>49</v>
      </c>
      <c r="I2" s="64" t="s">
        <v>6</v>
      </c>
      <c r="J2" s="64" t="s">
        <v>7</v>
      </c>
      <c r="K2" s="64" t="s">
        <v>38</v>
      </c>
      <c r="L2" s="64" t="s">
        <v>10</v>
      </c>
      <c r="M2" s="64" t="s">
        <v>13</v>
      </c>
      <c r="N2" s="64" t="s">
        <v>8</v>
      </c>
      <c r="O2" s="64" t="s">
        <v>37</v>
      </c>
      <c r="P2" s="64" t="s">
        <v>11</v>
      </c>
      <c r="Q2" s="64" t="s">
        <v>12</v>
      </c>
      <c r="R2" s="64" t="s">
        <v>41</v>
      </c>
      <c r="S2" s="64" t="s">
        <v>42</v>
      </c>
      <c r="T2" s="64" t="s">
        <v>43</v>
      </c>
      <c r="U2" s="64" t="s">
        <v>44</v>
      </c>
      <c r="V2" s="64" t="s">
        <v>47</v>
      </c>
      <c r="W2" s="64" t="s">
        <v>48</v>
      </c>
      <c r="X2" s="64" t="s">
        <v>43</v>
      </c>
      <c r="Y2" s="64" t="s">
        <v>44</v>
      </c>
      <c r="Z2" s="64" t="s">
        <v>34</v>
      </c>
      <c r="AA2" s="65" t="s">
        <v>39</v>
      </c>
      <c r="AB2" s="86" t="s">
        <v>240</v>
      </c>
      <c r="AC2" s="86"/>
      <c r="AD2" s="86"/>
    </row>
    <row r="3" spans="1:30" ht="52.5" x14ac:dyDescent="0.25">
      <c r="A3" s="89" t="s">
        <v>33</v>
      </c>
      <c r="B3" s="85" t="s">
        <v>22</v>
      </c>
      <c r="C3" s="3" t="s">
        <v>72</v>
      </c>
      <c r="D3" s="31">
        <v>220102805</v>
      </c>
      <c r="E3" s="2" t="s">
        <v>175</v>
      </c>
      <c r="F3" s="58" t="s">
        <v>149</v>
      </c>
      <c r="G3" s="51" t="s">
        <v>171</v>
      </c>
      <c r="H3" s="31">
        <v>884</v>
      </c>
      <c r="I3" s="31">
        <v>884</v>
      </c>
      <c r="J3" s="32">
        <v>884</v>
      </c>
      <c r="K3" s="32">
        <v>884</v>
      </c>
      <c r="L3" s="23">
        <f t="shared" ref="L3:L33" si="0">IF((K3/J3)&gt;1,1,K3/J3)</f>
        <v>1</v>
      </c>
      <c r="M3" s="23">
        <f t="shared" ref="M3:M33" si="1">IF((K3/I3)&gt;1,1,K3/I3)</f>
        <v>1</v>
      </c>
      <c r="N3" s="34">
        <v>884</v>
      </c>
      <c r="O3" s="59">
        <v>919</v>
      </c>
      <c r="P3" s="25">
        <f t="shared" ref="P3:P33" si="2">IF((O3/N3)&gt;1,1,O3/N3)</f>
        <v>1</v>
      </c>
      <c r="Q3" s="25">
        <f t="shared" ref="Q3:Q33" si="3">IF((O3/I3)&gt;1,1,O3/I3)</f>
        <v>1</v>
      </c>
      <c r="R3" s="26">
        <v>884</v>
      </c>
      <c r="S3" s="26">
        <v>0</v>
      </c>
      <c r="T3" s="27">
        <f t="shared" ref="T3:T33" si="4">IF((S3/R3)&gt;1,1,S3/R3)</f>
        <v>0</v>
      </c>
      <c r="U3" s="27">
        <f t="shared" ref="U3:U33" si="5">IF((S3/I3)&gt;1,1,S3/I3)</f>
        <v>0</v>
      </c>
      <c r="V3" s="28">
        <v>884</v>
      </c>
      <c r="W3" s="28">
        <v>0</v>
      </c>
      <c r="X3" s="29">
        <f t="shared" ref="X3:X33" si="6">IF((W3/V3)&gt;1,1,W3/V3)</f>
        <v>0</v>
      </c>
      <c r="Y3" s="29">
        <f t="shared" ref="Y3:Y33" si="7">IF((W3/I3)&gt;1,1,W3/I3)</f>
        <v>0</v>
      </c>
      <c r="Z3" s="20">
        <f>+O3</f>
        <v>919</v>
      </c>
      <c r="AA3" s="35">
        <f t="shared" ref="AA3:AA33" si="8">IF((Z3/I3)&gt;1,1,Z3/I3)</f>
        <v>1</v>
      </c>
      <c r="AB3" s="63" t="s">
        <v>15</v>
      </c>
      <c r="AC3" s="64" t="s">
        <v>40</v>
      </c>
      <c r="AD3" s="64" t="s">
        <v>39</v>
      </c>
    </row>
    <row r="4" spans="1:30" ht="78.75" x14ac:dyDescent="0.25">
      <c r="A4" s="89"/>
      <c r="B4" s="85"/>
      <c r="C4" s="3" t="s">
        <v>73</v>
      </c>
      <c r="D4" s="31">
        <v>220102901</v>
      </c>
      <c r="E4" s="2" t="s">
        <v>176</v>
      </c>
      <c r="F4" s="58" t="s">
        <v>149</v>
      </c>
      <c r="G4" s="58" t="s">
        <v>150</v>
      </c>
      <c r="H4" s="31">
        <v>168</v>
      </c>
      <c r="I4" s="31">
        <v>180</v>
      </c>
      <c r="J4" s="32">
        <v>171</v>
      </c>
      <c r="K4" s="32">
        <v>176</v>
      </c>
      <c r="L4" s="23">
        <f t="shared" si="0"/>
        <v>1</v>
      </c>
      <c r="M4" s="23">
        <f t="shared" si="1"/>
        <v>0.97777777777777775</v>
      </c>
      <c r="N4" s="34">
        <v>174</v>
      </c>
      <c r="O4" s="84">
        <v>192</v>
      </c>
      <c r="P4" s="25">
        <f t="shared" si="2"/>
        <v>1</v>
      </c>
      <c r="Q4" s="25">
        <f t="shared" si="3"/>
        <v>1</v>
      </c>
      <c r="R4" s="26">
        <v>177</v>
      </c>
      <c r="S4" s="26">
        <v>0</v>
      </c>
      <c r="T4" s="27">
        <f t="shared" si="4"/>
        <v>0</v>
      </c>
      <c r="U4" s="27">
        <f t="shared" si="5"/>
        <v>0</v>
      </c>
      <c r="V4" s="28">
        <v>180</v>
      </c>
      <c r="W4" s="28">
        <v>0</v>
      </c>
      <c r="X4" s="29">
        <f t="shared" si="6"/>
        <v>0</v>
      </c>
      <c r="Y4" s="29">
        <f t="shared" si="7"/>
        <v>0</v>
      </c>
      <c r="Z4" s="20">
        <f>+O4</f>
        <v>192</v>
      </c>
      <c r="AA4" s="35">
        <f t="shared" si="8"/>
        <v>1</v>
      </c>
      <c r="AB4" s="70" t="s">
        <v>243</v>
      </c>
      <c r="AC4" s="69">
        <v>31</v>
      </c>
      <c r="AD4" s="16">
        <f>AA34</f>
        <v>0.5403296347555494</v>
      </c>
    </row>
    <row r="5" spans="1:30" ht="45" x14ac:dyDescent="0.25">
      <c r="A5" s="89"/>
      <c r="B5" s="85"/>
      <c r="C5" s="3" t="s">
        <v>74</v>
      </c>
      <c r="D5" s="31">
        <v>220100301</v>
      </c>
      <c r="E5" s="2" t="s">
        <v>177</v>
      </c>
      <c r="F5" s="58" t="s">
        <v>149</v>
      </c>
      <c r="G5" s="51" t="s">
        <v>171</v>
      </c>
      <c r="H5" s="31">
        <v>1</v>
      </c>
      <c r="I5" s="31">
        <v>1</v>
      </c>
      <c r="J5" s="32">
        <v>1</v>
      </c>
      <c r="K5" s="32">
        <v>1</v>
      </c>
      <c r="L5" s="23">
        <f t="shared" si="0"/>
        <v>1</v>
      </c>
      <c r="M5" s="23">
        <f t="shared" si="1"/>
        <v>1</v>
      </c>
      <c r="N5" s="34">
        <v>1</v>
      </c>
      <c r="O5" s="84">
        <v>1</v>
      </c>
      <c r="P5" s="25">
        <f t="shared" si="2"/>
        <v>1</v>
      </c>
      <c r="Q5" s="25">
        <f t="shared" si="3"/>
        <v>1</v>
      </c>
      <c r="R5" s="26">
        <v>1</v>
      </c>
      <c r="S5" s="26">
        <v>0</v>
      </c>
      <c r="T5" s="27">
        <f t="shared" si="4"/>
        <v>0</v>
      </c>
      <c r="U5" s="27">
        <f t="shared" si="5"/>
        <v>0</v>
      </c>
      <c r="V5" s="28">
        <v>1</v>
      </c>
      <c r="W5" s="28">
        <v>0</v>
      </c>
      <c r="X5" s="29">
        <f t="shared" si="6"/>
        <v>0</v>
      </c>
      <c r="Y5" s="29">
        <f t="shared" si="7"/>
        <v>0</v>
      </c>
      <c r="Z5" s="20">
        <f>+O5</f>
        <v>1</v>
      </c>
      <c r="AA5" s="35">
        <f t="shared" si="8"/>
        <v>1</v>
      </c>
    </row>
    <row r="6" spans="1:30" ht="30" x14ac:dyDescent="0.25">
      <c r="A6" s="89"/>
      <c r="B6" s="85"/>
      <c r="C6" s="3" t="s">
        <v>75</v>
      </c>
      <c r="D6" s="31">
        <v>330108500</v>
      </c>
      <c r="E6" s="2" t="s">
        <v>178</v>
      </c>
      <c r="F6" s="58" t="s">
        <v>149</v>
      </c>
      <c r="G6" s="58" t="s">
        <v>150</v>
      </c>
      <c r="H6" s="31">
        <v>0</v>
      </c>
      <c r="I6" s="31">
        <v>25600</v>
      </c>
      <c r="J6" s="32">
        <v>6400</v>
      </c>
      <c r="K6" s="32">
        <v>6566</v>
      </c>
      <c r="L6" s="23">
        <f t="shared" si="0"/>
        <v>1</v>
      </c>
      <c r="M6" s="23">
        <f t="shared" si="1"/>
        <v>0.25648437499999999</v>
      </c>
      <c r="N6" s="34">
        <v>6400</v>
      </c>
      <c r="O6" s="84">
        <v>6836</v>
      </c>
      <c r="P6" s="25">
        <f t="shared" si="2"/>
        <v>1</v>
      </c>
      <c r="Q6" s="25">
        <f t="shared" si="3"/>
        <v>0.26703125</v>
      </c>
      <c r="R6" s="26">
        <v>6400</v>
      </c>
      <c r="S6" s="26">
        <v>0</v>
      </c>
      <c r="T6" s="27">
        <f t="shared" si="4"/>
        <v>0</v>
      </c>
      <c r="U6" s="27">
        <f t="shared" si="5"/>
        <v>0</v>
      </c>
      <c r="V6" s="28">
        <v>6400</v>
      </c>
      <c r="W6" s="28">
        <v>0</v>
      </c>
      <c r="X6" s="29">
        <f t="shared" si="6"/>
        <v>0</v>
      </c>
      <c r="Y6" s="29">
        <f t="shared" si="7"/>
        <v>0</v>
      </c>
      <c r="Z6" s="20">
        <f t="shared" ref="Z6:Z33" si="9">+K6+O6+S6+W6</f>
        <v>13402</v>
      </c>
      <c r="AA6" s="30">
        <f t="shared" si="8"/>
        <v>0.52351562500000004</v>
      </c>
    </row>
    <row r="7" spans="1:30" ht="47.25" x14ac:dyDescent="0.25">
      <c r="A7" s="89"/>
      <c r="B7" s="85"/>
      <c r="C7" s="3" t="s">
        <v>76</v>
      </c>
      <c r="D7" s="31">
        <v>220206200</v>
      </c>
      <c r="E7" s="2" t="s">
        <v>179</v>
      </c>
      <c r="F7" s="58" t="s">
        <v>149</v>
      </c>
      <c r="G7" s="58" t="s">
        <v>150</v>
      </c>
      <c r="H7" s="31">
        <v>0</v>
      </c>
      <c r="I7" s="31">
        <v>800</v>
      </c>
      <c r="J7" s="32">
        <v>200</v>
      </c>
      <c r="K7" s="32">
        <v>478</v>
      </c>
      <c r="L7" s="23">
        <f t="shared" si="0"/>
        <v>1</v>
      </c>
      <c r="M7" s="23">
        <f t="shared" si="1"/>
        <v>0.59750000000000003</v>
      </c>
      <c r="N7" s="34">
        <v>200</v>
      </c>
      <c r="O7" s="84">
        <v>200</v>
      </c>
      <c r="P7" s="25">
        <f t="shared" si="2"/>
        <v>1</v>
      </c>
      <c r="Q7" s="25">
        <f t="shared" si="3"/>
        <v>0.25</v>
      </c>
      <c r="R7" s="26">
        <v>200</v>
      </c>
      <c r="S7" s="26">
        <v>0</v>
      </c>
      <c r="T7" s="27">
        <f t="shared" si="4"/>
        <v>0</v>
      </c>
      <c r="U7" s="27">
        <f t="shared" si="5"/>
        <v>0</v>
      </c>
      <c r="V7" s="28">
        <v>200</v>
      </c>
      <c r="W7" s="28">
        <v>0</v>
      </c>
      <c r="X7" s="29">
        <f t="shared" si="6"/>
        <v>0</v>
      </c>
      <c r="Y7" s="29">
        <f t="shared" si="7"/>
        <v>0</v>
      </c>
      <c r="Z7" s="20">
        <f t="shared" si="9"/>
        <v>678</v>
      </c>
      <c r="AA7" s="30">
        <f t="shared" si="8"/>
        <v>0.84750000000000003</v>
      </c>
    </row>
    <row r="8" spans="1:30" ht="30" x14ac:dyDescent="0.25">
      <c r="A8" s="89"/>
      <c r="B8" s="85"/>
      <c r="C8" s="3" t="s">
        <v>77</v>
      </c>
      <c r="D8" s="31">
        <v>220105200</v>
      </c>
      <c r="E8" s="2" t="s">
        <v>180</v>
      </c>
      <c r="F8" s="58" t="s">
        <v>149</v>
      </c>
      <c r="G8" s="58" t="s">
        <v>150</v>
      </c>
      <c r="H8" s="31">
        <v>0</v>
      </c>
      <c r="I8" s="31">
        <v>8</v>
      </c>
      <c r="J8" s="32">
        <v>2</v>
      </c>
      <c r="K8" s="32">
        <v>1</v>
      </c>
      <c r="L8" s="23">
        <f t="shared" si="0"/>
        <v>0.5</v>
      </c>
      <c r="M8" s="23">
        <f t="shared" si="1"/>
        <v>0.125</v>
      </c>
      <c r="N8" s="34">
        <v>2</v>
      </c>
      <c r="O8" s="84">
        <v>2</v>
      </c>
      <c r="P8" s="25">
        <f t="shared" si="2"/>
        <v>1</v>
      </c>
      <c r="Q8" s="25">
        <f t="shared" si="3"/>
        <v>0.25</v>
      </c>
      <c r="R8" s="26">
        <v>2</v>
      </c>
      <c r="S8" s="26">
        <v>0</v>
      </c>
      <c r="T8" s="27">
        <f t="shared" si="4"/>
        <v>0</v>
      </c>
      <c r="U8" s="27">
        <f t="shared" si="5"/>
        <v>0</v>
      </c>
      <c r="V8" s="28">
        <v>2</v>
      </c>
      <c r="W8" s="28">
        <v>0</v>
      </c>
      <c r="X8" s="29">
        <f t="shared" si="6"/>
        <v>0</v>
      </c>
      <c r="Y8" s="29">
        <f t="shared" si="7"/>
        <v>0</v>
      </c>
      <c r="Z8" s="20">
        <f t="shared" si="9"/>
        <v>3</v>
      </c>
      <c r="AA8" s="30">
        <f t="shared" si="8"/>
        <v>0.375</v>
      </c>
    </row>
    <row r="9" spans="1:30" ht="45" x14ac:dyDescent="0.25">
      <c r="A9" s="89"/>
      <c r="B9" s="85"/>
      <c r="C9" s="3" t="s">
        <v>78</v>
      </c>
      <c r="D9" s="31">
        <v>220102600</v>
      </c>
      <c r="E9" s="2" t="s">
        <v>181</v>
      </c>
      <c r="F9" s="58" t="s">
        <v>149</v>
      </c>
      <c r="G9" s="58" t="s">
        <v>150</v>
      </c>
      <c r="H9" s="31">
        <v>0</v>
      </c>
      <c r="I9" s="31">
        <v>2</v>
      </c>
      <c r="J9" s="32">
        <v>0.5</v>
      </c>
      <c r="K9" s="45">
        <v>0.5</v>
      </c>
      <c r="L9" s="23">
        <f t="shared" si="0"/>
        <v>1</v>
      </c>
      <c r="M9" s="23">
        <f t="shared" si="1"/>
        <v>0.25</v>
      </c>
      <c r="N9" s="34">
        <v>0.5</v>
      </c>
      <c r="O9" s="84">
        <v>0.5</v>
      </c>
      <c r="P9" s="25">
        <f t="shared" si="2"/>
        <v>1</v>
      </c>
      <c r="Q9" s="25">
        <f t="shared" si="3"/>
        <v>0.25</v>
      </c>
      <c r="R9" s="26">
        <v>0.5</v>
      </c>
      <c r="S9" s="26">
        <v>0</v>
      </c>
      <c r="T9" s="27">
        <f t="shared" si="4"/>
        <v>0</v>
      </c>
      <c r="U9" s="27">
        <f t="shared" si="5"/>
        <v>0</v>
      </c>
      <c r="V9" s="28">
        <v>0.5</v>
      </c>
      <c r="W9" s="28">
        <v>0</v>
      </c>
      <c r="X9" s="29">
        <f t="shared" si="6"/>
        <v>0</v>
      </c>
      <c r="Y9" s="29">
        <f t="shared" si="7"/>
        <v>0</v>
      </c>
      <c r="Z9" s="20">
        <f t="shared" si="9"/>
        <v>1</v>
      </c>
      <c r="AA9" s="30">
        <f t="shared" si="8"/>
        <v>0.5</v>
      </c>
    </row>
    <row r="10" spans="1:30" ht="45" x14ac:dyDescent="0.25">
      <c r="A10" s="89"/>
      <c r="B10" s="85" t="s">
        <v>9</v>
      </c>
      <c r="C10" s="3" t="s">
        <v>79</v>
      </c>
      <c r="D10" s="2">
        <v>330106301</v>
      </c>
      <c r="E10" s="2" t="s">
        <v>182</v>
      </c>
      <c r="F10" s="58" t="s">
        <v>149</v>
      </c>
      <c r="G10" s="58" t="s">
        <v>150</v>
      </c>
      <c r="H10" s="2">
        <v>0</v>
      </c>
      <c r="I10" s="2">
        <v>1</v>
      </c>
      <c r="J10" s="32">
        <v>0</v>
      </c>
      <c r="K10" s="36">
        <v>0.3</v>
      </c>
      <c r="L10" s="37"/>
      <c r="M10" s="23">
        <f t="shared" si="1"/>
        <v>0.3</v>
      </c>
      <c r="N10" s="34">
        <v>0</v>
      </c>
      <c r="O10" s="39">
        <v>0</v>
      </c>
      <c r="P10" s="43"/>
      <c r="Q10" s="25"/>
      <c r="R10" s="40">
        <v>0.5</v>
      </c>
      <c r="S10" s="26">
        <v>0</v>
      </c>
      <c r="T10" s="27">
        <f t="shared" si="4"/>
        <v>0</v>
      </c>
      <c r="U10" s="27">
        <f t="shared" si="5"/>
        <v>0</v>
      </c>
      <c r="V10" s="41">
        <v>0.5</v>
      </c>
      <c r="W10" s="28">
        <v>0</v>
      </c>
      <c r="X10" s="29">
        <f t="shared" si="6"/>
        <v>0</v>
      </c>
      <c r="Y10" s="29">
        <f t="shared" si="7"/>
        <v>0</v>
      </c>
      <c r="Z10" s="20">
        <f t="shared" si="9"/>
        <v>0.3</v>
      </c>
      <c r="AA10" s="30">
        <f t="shared" si="8"/>
        <v>0.3</v>
      </c>
    </row>
    <row r="11" spans="1:30" ht="45" x14ac:dyDescent="0.25">
      <c r="A11" s="89"/>
      <c r="B11" s="85"/>
      <c r="C11" s="3" t="s">
        <v>80</v>
      </c>
      <c r="D11" s="31">
        <v>330105100</v>
      </c>
      <c r="E11" s="2" t="s">
        <v>183</v>
      </c>
      <c r="F11" s="58" t="s">
        <v>149</v>
      </c>
      <c r="G11" s="58" t="s">
        <v>150</v>
      </c>
      <c r="H11" s="31">
        <v>0</v>
      </c>
      <c r="I11" s="31">
        <v>8220</v>
      </c>
      <c r="J11" s="32">
        <v>2055</v>
      </c>
      <c r="K11" s="32">
        <v>2514</v>
      </c>
      <c r="L11" s="23">
        <f t="shared" si="0"/>
        <v>1</v>
      </c>
      <c r="M11" s="23">
        <f t="shared" si="1"/>
        <v>0.30583941605839415</v>
      </c>
      <c r="N11" s="34">
        <v>2055</v>
      </c>
      <c r="O11" s="39">
        <v>2055</v>
      </c>
      <c r="P11" s="25">
        <f t="shared" si="2"/>
        <v>1</v>
      </c>
      <c r="Q11" s="25">
        <f t="shared" si="3"/>
        <v>0.25</v>
      </c>
      <c r="R11" s="26">
        <v>2055</v>
      </c>
      <c r="S11" s="26">
        <v>0</v>
      </c>
      <c r="T11" s="27">
        <f t="shared" si="4"/>
        <v>0</v>
      </c>
      <c r="U11" s="27">
        <f t="shared" si="5"/>
        <v>0</v>
      </c>
      <c r="V11" s="28">
        <v>2055</v>
      </c>
      <c r="W11" s="28">
        <v>0</v>
      </c>
      <c r="X11" s="29">
        <f t="shared" si="6"/>
        <v>0</v>
      </c>
      <c r="Y11" s="29">
        <f t="shared" si="7"/>
        <v>0</v>
      </c>
      <c r="Z11" s="20">
        <f t="shared" si="9"/>
        <v>4569</v>
      </c>
      <c r="AA11" s="30">
        <f t="shared" si="8"/>
        <v>0.55583941605839415</v>
      </c>
    </row>
    <row r="12" spans="1:30" ht="45" x14ac:dyDescent="0.25">
      <c r="A12" s="89"/>
      <c r="B12" s="85"/>
      <c r="C12" s="3" t="s">
        <v>81</v>
      </c>
      <c r="D12" s="31">
        <v>330202201</v>
      </c>
      <c r="E12" s="2" t="s">
        <v>184</v>
      </c>
      <c r="F12" s="58" t="s">
        <v>149</v>
      </c>
      <c r="G12" s="58" t="s">
        <v>150</v>
      </c>
      <c r="H12" s="31">
        <v>0</v>
      </c>
      <c r="I12" s="31">
        <v>4</v>
      </c>
      <c r="J12" s="32">
        <v>1</v>
      </c>
      <c r="K12" s="32">
        <v>0</v>
      </c>
      <c r="L12" s="23">
        <f t="shared" si="0"/>
        <v>0</v>
      </c>
      <c r="M12" s="23">
        <f t="shared" si="1"/>
        <v>0</v>
      </c>
      <c r="N12" s="34">
        <v>1</v>
      </c>
      <c r="O12" s="39">
        <v>1</v>
      </c>
      <c r="P12" s="25">
        <f t="shared" si="2"/>
        <v>1</v>
      </c>
      <c r="Q12" s="25">
        <f t="shared" si="3"/>
        <v>0.25</v>
      </c>
      <c r="R12" s="26">
        <v>1</v>
      </c>
      <c r="S12" s="26">
        <v>0</v>
      </c>
      <c r="T12" s="27">
        <f t="shared" si="4"/>
        <v>0</v>
      </c>
      <c r="U12" s="27">
        <f t="shared" si="5"/>
        <v>0</v>
      </c>
      <c r="V12" s="28">
        <v>1</v>
      </c>
      <c r="W12" s="28">
        <v>0</v>
      </c>
      <c r="X12" s="29">
        <f t="shared" si="6"/>
        <v>0</v>
      </c>
      <c r="Y12" s="29">
        <f t="shared" si="7"/>
        <v>0</v>
      </c>
      <c r="Z12" s="20">
        <f t="shared" si="9"/>
        <v>1</v>
      </c>
      <c r="AA12" s="30">
        <f t="shared" si="8"/>
        <v>0.25</v>
      </c>
    </row>
    <row r="13" spans="1:30" ht="30" x14ac:dyDescent="0.25">
      <c r="A13" s="89"/>
      <c r="B13" s="85"/>
      <c r="C13" s="3" t="s">
        <v>82</v>
      </c>
      <c r="D13" s="31">
        <v>330106800</v>
      </c>
      <c r="E13" s="2" t="s">
        <v>185</v>
      </c>
      <c r="F13" s="58" t="s">
        <v>149</v>
      </c>
      <c r="G13" s="58" t="s">
        <v>150</v>
      </c>
      <c r="H13" s="31">
        <v>0</v>
      </c>
      <c r="I13" s="31">
        <v>2</v>
      </c>
      <c r="J13" s="32">
        <v>1</v>
      </c>
      <c r="K13" s="32">
        <v>1</v>
      </c>
      <c r="L13" s="23">
        <f t="shared" si="0"/>
        <v>1</v>
      </c>
      <c r="M13" s="23">
        <f t="shared" si="1"/>
        <v>0.5</v>
      </c>
      <c r="N13" s="34">
        <v>1</v>
      </c>
      <c r="O13" s="39">
        <v>1</v>
      </c>
      <c r="P13" s="25">
        <f t="shared" si="2"/>
        <v>1</v>
      </c>
      <c r="Q13" s="25">
        <f t="shared" si="3"/>
        <v>0.5</v>
      </c>
      <c r="R13" s="26">
        <v>0</v>
      </c>
      <c r="S13" s="26">
        <v>0</v>
      </c>
      <c r="T13" s="42"/>
      <c r="U13" s="27">
        <f t="shared" si="5"/>
        <v>0</v>
      </c>
      <c r="V13" s="28">
        <v>0</v>
      </c>
      <c r="W13" s="28">
        <v>0</v>
      </c>
      <c r="X13" s="38"/>
      <c r="Y13" s="29">
        <f t="shared" si="7"/>
        <v>0</v>
      </c>
      <c r="Z13" s="20">
        <f t="shared" si="9"/>
        <v>2</v>
      </c>
      <c r="AA13" s="35">
        <f t="shared" si="8"/>
        <v>1</v>
      </c>
    </row>
    <row r="14" spans="1:30" ht="45" x14ac:dyDescent="0.25">
      <c r="A14" s="89"/>
      <c r="B14" s="85"/>
      <c r="C14" s="3" t="s">
        <v>83</v>
      </c>
      <c r="D14" s="46">
        <v>330105300</v>
      </c>
      <c r="E14" s="2" t="s">
        <v>186</v>
      </c>
      <c r="F14" s="58" t="s">
        <v>149</v>
      </c>
      <c r="G14" s="58" t="s">
        <v>150</v>
      </c>
      <c r="H14" s="46">
        <v>0</v>
      </c>
      <c r="I14" s="46">
        <v>176</v>
      </c>
      <c r="J14" s="32">
        <v>44</v>
      </c>
      <c r="K14" s="32">
        <v>80</v>
      </c>
      <c r="L14" s="23">
        <f t="shared" si="0"/>
        <v>1</v>
      </c>
      <c r="M14" s="23">
        <f t="shared" si="1"/>
        <v>0.45454545454545453</v>
      </c>
      <c r="N14" s="47">
        <v>44</v>
      </c>
      <c r="O14" s="90">
        <v>44</v>
      </c>
      <c r="P14" s="25">
        <f t="shared" si="2"/>
        <v>1</v>
      </c>
      <c r="Q14" s="25">
        <f t="shared" si="3"/>
        <v>0.25</v>
      </c>
      <c r="R14" s="26">
        <v>44</v>
      </c>
      <c r="S14" s="26">
        <v>0</v>
      </c>
      <c r="T14" s="27">
        <f t="shared" si="4"/>
        <v>0</v>
      </c>
      <c r="U14" s="27">
        <f t="shared" si="5"/>
        <v>0</v>
      </c>
      <c r="V14" s="28">
        <v>44</v>
      </c>
      <c r="W14" s="28">
        <v>0</v>
      </c>
      <c r="X14" s="29">
        <f t="shared" si="6"/>
        <v>0</v>
      </c>
      <c r="Y14" s="29">
        <f t="shared" si="7"/>
        <v>0</v>
      </c>
      <c r="Z14" s="20">
        <f t="shared" si="9"/>
        <v>124</v>
      </c>
      <c r="AA14" s="30">
        <f t="shared" si="8"/>
        <v>0.70454545454545459</v>
      </c>
    </row>
    <row r="15" spans="1:30" ht="45" x14ac:dyDescent="0.25">
      <c r="A15" s="89"/>
      <c r="B15" s="85"/>
      <c r="C15" s="12" t="s">
        <v>84</v>
      </c>
      <c r="D15" s="31">
        <v>330105402</v>
      </c>
      <c r="E15" s="2" t="s">
        <v>187</v>
      </c>
      <c r="F15" s="58" t="s">
        <v>149</v>
      </c>
      <c r="G15" s="58" t="s">
        <v>150</v>
      </c>
      <c r="H15" s="31">
        <v>0</v>
      </c>
      <c r="I15" s="31">
        <v>44</v>
      </c>
      <c r="J15" s="32">
        <v>11</v>
      </c>
      <c r="K15" s="32">
        <v>11</v>
      </c>
      <c r="L15" s="23">
        <f t="shared" si="0"/>
        <v>1</v>
      </c>
      <c r="M15" s="23">
        <f t="shared" si="1"/>
        <v>0.25</v>
      </c>
      <c r="N15" s="34">
        <v>11</v>
      </c>
      <c r="O15" s="39">
        <v>11</v>
      </c>
      <c r="P15" s="25">
        <f t="shared" si="2"/>
        <v>1</v>
      </c>
      <c r="Q15" s="25">
        <f t="shared" si="3"/>
        <v>0.25</v>
      </c>
      <c r="R15" s="26">
        <v>11</v>
      </c>
      <c r="S15" s="26">
        <v>0</v>
      </c>
      <c r="T15" s="27">
        <f t="shared" si="4"/>
        <v>0</v>
      </c>
      <c r="U15" s="27">
        <f t="shared" si="5"/>
        <v>0</v>
      </c>
      <c r="V15" s="28">
        <v>11</v>
      </c>
      <c r="W15" s="28">
        <v>0</v>
      </c>
      <c r="X15" s="29">
        <f t="shared" si="6"/>
        <v>0</v>
      </c>
      <c r="Y15" s="29">
        <f t="shared" si="7"/>
        <v>0</v>
      </c>
      <c r="Z15" s="20">
        <f t="shared" si="9"/>
        <v>22</v>
      </c>
      <c r="AA15" s="30">
        <f t="shared" si="8"/>
        <v>0.5</v>
      </c>
    </row>
    <row r="16" spans="1:30" ht="63" x14ac:dyDescent="0.25">
      <c r="A16" s="89"/>
      <c r="B16" s="85" t="s">
        <v>23</v>
      </c>
      <c r="C16" s="12" t="s">
        <v>85</v>
      </c>
      <c r="D16" s="31">
        <v>430103703</v>
      </c>
      <c r="E16" s="2" t="s">
        <v>188</v>
      </c>
      <c r="F16" s="58" t="s">
        <v>149</v>
      </c>
      <c r="G16" s="58" t="s">
        <v>150</v>
      </c>
      <c r="H16" s="31">
        <v>0</v>
      </c>
      <c r="I16" s="31">
        <v>44000</v>
      </c>
      <c r="J16" s="32">
        <v>11000</v>
      </c>
      <c r="K16" s="32">
        <v>5490</v>
      </c>
      <c r="L16" s="23">
        <f t="shared" si="0"/>
        <v>0.49909090909090909</v>
      </c>
      <c r="M16" s="23">
        <f t="shared" si="1"/>
        <v>0.12477272727272727</v>
      </c>
      <c r="N16" s="34">
        <v>11000</v>
      </c>
      <c r="O16" s="84">
        <v>11000</v>
      </c>
      <c r="P16" s="25">
        <f t="shared" si="2"/>
        <v>1</v>
      </c>
      <c r="Q16" s="25">
        <f t="shared" si="3"/>
        <v>0.25</v>
      </c>
      <c r="R16" s="26">
        <v>11000</v>
      </c>
      <c r="S16" s="26">
        <v>0</v>
      </c>
      <c r="T16" s="27">
        <f t="shared" si="4"/>
        <v>0</v>
      </c>
      <c r="U16" s="27">
        <f t="shared" si="5"/>
        <v>0</v>
      </c>
      <c r="V16" s="28">
        <v>11000</v>
      </c>
      <c r="W16" s="28">
        <v>0</v>
      </c>
      <c r="X16" s="29">
        <f t="shared" si="6"/>
        <v>0</v>
      </c>
      <c r="Y16" s="29">
        <f t="shared" si="7"/>
        <v>0</v>
      </c>
      <c r="Z16" s="20">
        <f t="shared" si="9"/>
        <v>16490</v>
      </c>
      <c r="AA16" s="30">
        <f t="shared" si="8"/>
        <v>0.37477272727272726</v>
      </c>
    </row>
    <row r="17" spans="1:27" ht="45" x14ac:dyDescent="0.25">
      <c r="A17" s="89"/>
      <c r="B17" s="85"/>
      <c r="C17" s="3" t="s">
        <v>86</v>
      </c>
      <c r="D17" s="31">
        <v>430100300</v>
      </c>
      <c r="E17" s="2" t="s">
        <v>189</v>
      </c>
      <c r="F17" s="58" t="s">
        <v>149</v>
      </c>
      <c r="G17" s="58" t="s">
        <v>150</v>
      </c>
      <c r="H17" s="31">
        <v>0</v>
      </c>
      <c r="I17" s="31">
        <v>14</v>
      </c>
      <c r="J17" s="32">
        <v>3</v>
      </c>
      <c r="K17" s="32">
        <v>3</v>
      </c>
      <c r="L17" s="23">
        <f t="shared" si="0"/>
        <v>1</v>
      </c>
      <c r="M17" s="23">
        <f t="shared" si="1"/>
        <v>0.21428571428571427</v>
      </c>
      <c r="N17" s="34">
        <v>4</v>
      </c>
      <c r="O17" s="84">
        <v>4</v>
      </c>
      <c r="P17" s="25">
        <f t="shared" si="2"/>
        <v>1</v>
      </c>
      <c r="Q17" s="25">
        <f t="shared" si="3"/>
        <v>0.2857142857142857</v>
      </c>
      <c r="R17" s="26">
        <v>4</v>
      </c>
      <c r="S17" s="26">
        <v>0</v>
      </c>
      <c r="T17" s="27">
        <f t="shared" si="4"/>
        <v>0</v>
      </c>
      <c r="U17" s="27">
        <f t="shared" si="5"/>
        <v>0</v>
      </c>
      <c r="V17" s="28">
        <v>3</v>
      </c>
      <c r="W17" s="28">
        <v>0</v>
      </c>
      <c r="X17" s="29">
        <f t="shared" si="6"/>
        <v>0</v>
      </c>
      <c r="Y17" s="29">
        <f t="shared" si="7"/>
        <v>0</v>
      </c>
      <c r="Z17" s="20">
        <f t="shared" si="9"/>
        <v>7</v>
      </c>
      <c r="AA17" s="30">
        <f t="shared" si="8"/>
        <v>0.5</v>
      </c>
    </row>
    <row r="18" spans="1:27" ht="30" x14ac:dyDescent="0.25">
      <c r="A18" s="89"/>
      <c r="B18" s="85"/>
      <c r="C18" s="3" t="s">
        <v>87</v>
      </c>
      <c r="D18" s="31">
        <v>430100102</v>
      </c>
      <c r="E18" s="2" t="s">
        <v>190</v>
      </c>
      <c r="F18" s="58" t="s">
        <v>149</v>
      </c>
      <c r="G18" s="58" t="s">
        <v>150</v>
      </c>
      <c r="H18" s="31">
        <v>0</v>
      </c>
      <c r="I18" s="31">
        <v>3000</v>
      </c>
      <c r="J18" s="32">
        <v>500</v>
      </c>
      <c r="K18" s="32">
        <v>1125</v>
      </c>
      <c r="L18" s="23">
        <f t="shared" si="0"/>
        <v>1</v>
      </c>
      <c r="M18" s="23">
        <f t="shared" si="1"/>
        <v>0.375</v>
      </c>
      <c r="N18" s="34">
        <v>1000</v>
      </c>
      <c r="O18" s="84">
        <v>1000</v>
      </c>
      <c r="P18" s="25">
        <f t="shared" si="2"/>
        <v>1</v>
      </c>
      <c r="Q18" s="25">
        <f t="shared" si="3"/>
        <v>0.33333333333333331</v>
      </c>
      <c r="R18" s="26">
        <v>1000</v>
      </c>
      <c r="S18" s="26">
        <v>0</v>
      </c>
      <c r="T18" s="27">
        <f t="shared" si="4"/>
        <v>0</v>
      </c>
      <c r="U18" s="27">
        <f t="shared" si="5"/>
        <v>0</v>
      </c>
      <c r="V18" s="28">
        <v>500</v>
      </c>
      <c r="W18" s="28">
        <v>0</v>
      </c>
      <c r="X18" s="29">
        <f t="shared" si="6"/>
        <v>0</v>
      </c>
      <c r="Y18" s="29">
        <f t="shared" si="7"/>
        <v>0</v>
      </c>
      <c r="Z18" s="20">
        <f t="shared" si="9"/>
        <v>2125</v>
      </c>
      <c r="AA18" s="30">
        <f t="shared" si="8"/>
        <v>0.70833333333333337</v>
      </c>
    </row>
    <row r="19" spans="1:27" ht="30" x14ac:dyDescent="0.25">
      <c r="A19" s="89"/>
      <c r="B19" s="85"/>
      <c r="C19" s="3" t="s">
        <v>88</v>
      </c>
      <c r="D19" s="31">
        <v>430100600</v>
      </c>
      <c r="E19" s="2" t="s">
        <v>191</v>
      </c>
      <c r="F19" s="58" t="s">
        <v>149</v>
      </c>
      <c r="G19" s="58" t="s">
        <v>150</v>
      </c>
      <c r="H19" s="31">
        <v>0</v>
      </c>
      <c r="I19" s="31">
        <v>1</v>
      </c>
      <c r="J19" s="32">
        <v>0.25</v>
      </c>
      <c r="K19" s="32">
        <v>0</v>
      </c>
      <c r="L19" s="23">
        <f t="shared" si="0"/>
        <v>0</v>
      </c>
      <c r="M19" s="23">
        <f t="shared" si="1"/>
        <v>0</v>
      </c>
      <c r="N19" s="34">
        <v>0.25</v>
      </c>
      <c r="O19" s="84">
        <v>0.25</v>
      </c>
      <c r="P19" s="25">
        <f t="shared" si="2"/>
        <v>1</v>
      </c>
      <c r="Q19" s="25">
        <f t="shared" si="3"/>
        <v>0.25</v>
      </c>
      <c r="R19" s="26">
        <v>0.25</v>
      </c>
      <c r="S19" s="26">
        <v>0</v>
      </c>
      <c r="T19" s="27">
        <f t="shared" si="4"/>
        <v>0</v>
      </c>
      <c r="U19" s="27">
        <f t="shared" si="5"/>
        <v>0</v>
      </c>
      <c r="V19" s="28">
        <v>0.25</v>
      </c>
      <c r="W19" s="28">
        <v>0</v>
      </c>
      <c r="X19" s="29">
        <f t="shared" si="6"/>
        <v>0</v>
      </c>
      <c r="Y19" s="29">
        <f t="shared" si="7"/>
        <v>0</v>
      </c>
      <c r="Z19" s="20">
        <f t="shared" si="9"/>
        <v>0.25</v>
      </c>
      <c r="AA19" s="35">
        <f t="shared" si="8"/>
        <v>0.25</v>
      </c>
    </row>
    <row r="20" spans="1:27" ht="30" x14ac:dyDescent="0.25">
      <c r="A20" s="89"/>
      <c r="B20" s="85"/>
      <c r="C20" s="3" t="s">
        <v>89</v>
      </c>
      <c r="D20" s="31">
        <v>430100100</v>
      </c>
      <c r="E20" s="2" t="s">
        <v>192</v>
      </c>
      <c r="F20" s="58" t="s">
        <v>149</v>
      </c>
      <c r="G20" s="58" t="s">
        <v>150</v>
      </c>
      <c r="H20" s="31">
        <v>0</v>
      </c>
      <c r="I20" s="31">
        <v>60</v>
      </c>
      <c r="J20" s="32">
        <v>15</v>
      </c>
      <c r="K20" s="32">
        <v>20</v>
      </c>
      <c r="L20" s="23">
        <f t="shared" si="0"/>
        <v>1</v>
      </c>
      <c r="M20" s="23">
        <f t="shared" si="1"/>
        <v>0.33333333333333331</v>
      </c>
      <c r="N20" s="34">
        <v>15</v>
      </c>
      <c r="O20" s="84">
        <v>5</v>
      </c>
      <c r="P20" s="25">
        <f t="shared" si="2"/>
        <v>0.33333333333333331</v>
      </c>
      <c r="Q20" s="25">
        <f t="shared" si="3"/>
        <v>8.3333333333333329E-2</v>
      </c>
      <c r="R20" s="26">
        <v>15</v>
      </c>
      <c r="S20" s="26">
        <v>0</v>
      </c>
      <c r="T20" s="27">
        <f t="shared" si="4"/>
        <v>0</v>
      </c>
      <c r="U20" s="27">
        <f t="shared" si="5"/>
        <v>0</v>
      </c>
      <c r="V20" s="28">
        <v>15</v>
      </c>
      <c r="W20" s="28">
        <v>0</v>
      </c>
      <c r="X20" s="29">
        <f t="shared" si="6"/>
        <v>0</v>
      </c>
      <c r="Y20" s="29">
        <f t="shared" si="7"/>
        <v>0</v>
      </c>
      <c r="Z20" s="20">
        <f t="shared" si="9"/>
        <v>25</v>
      </c>
      <c r="AA20" s="30">
        <f t="shared" si="8"/>
        <v>0.41666666666666669</v>
      </c>
    </row>
    <row r="21" spans="1:27" ht="30" x14ac:dyDescent="0.25">
      <c r="A21" s="89"/>
      <c r="B21" s="85"/>
      <c r="C21" s="3" t="s">
        <v>90</v>
      </c>
      <c r="D21" s="31">
        <v>430100104</v>
      </c>
      <c r="E21" s="2" t="s">
        <v>193</v>
      </c>
      <c r="F21" s="58" t="s">
        <v>149</v>
      </c>
      <c r="G21" s="58" t="s">
        <v>150</v>
      </c>
      <c r="H21" s="31">
        <v>0</v>
      </c>
      <c r="I21" s="31">
        <v>12</v>
      </c>
      <c r="J21" s="32">
        <v>3</v>
      </c>
      <c r="K21" s="32">
        <v>3</v>
      </c>
      <c r="L21" s="23">
        <f t="shared" si="0"/>
        <v>1</v>
      </c>
      <c r="M21" s="23">
        <f t="shared" si="1"/>
        <v>0.25</v>
      </c>
      <c r="N21" s="34">
        <v>3</v>
      </c>
      <c r="O21" s="84">
        <v>3</v>
      </c>
      <c r="P21" s="25">
        <f t="shared" si="2"/>
        <v>1</v>
      </c>
      <c r="Q21" s="25">
        <f t="shared" si="3"/>
        <v>0.25</v>
      </c>
      <c r="R21" s="26">
        <v>3</v>
      </c>
      <c r="S21" s="26">
        <v>0</v>
      </c>
      <c r="T21" s="27">
        <f t="shared" si="4"/>
        <v>0</v>
      </c>
      <c r="U21" s="27">
        <f t="shared" si="5"/>
        <v>0</v>
      </c>
      <c r="V21" s="28">
        <v>3</v>
      </c>
      <c r="W21" s="28">
        <v>0</v>
      </c>
      <c r="X21" s="29">
        <f t="shared" si="6"/>
        <v>0</v>
      </c>
      <c r="Y21" s="29">
        <f t="shared" si="7"/>
        <v>0</v>
      </c>
      <c r="Z21" s="20">
        <f t="shared" si="9"/>
        <v>6</v>
      </c>
      <c r="AA21" s="30">
        <f t="shared" si="8"/>
        <v>0.5</v>
      </c>
    </row>
    <row r="22" spans="1:27" ht="45" x14ac:dyDescent="0.25">
      <c r="A22" s="89"/>
      <c r="B22" s="85" t="s">
        <v>24</v>
      </c>
      <c r="C22" s="3" t="s">
        <v>91</v>
      </c>
      <c r="D22" s="31">
        <v>410205200</v>
      </c>
      <c r="E22" s="2" t="s">
        <v>194</v>
      </c>
      <c r="F22" s="58" t="s">
        <v>149</v>
      </c>
      <c r="G22" s="51" t="s">
        <v>171</v>
      </c>
      <c r="H22" s="31">
        <v>350</v>
      </c>
      <c r="I22" s="31">
        <v>350</v>
      </c>
      <c r="J22" s="32">
        <v>350</v>
      </c>
      <c r="K22" s="32">
        <v>350</v>
      </c>
      <c r="L22" s="23">
        <f t="shared" si="0"/>
        <v>1</v>
      </c>
      <c r="M22" s="23">
        <f t="shared" si="1"/>
        <v>1</v>
      </c>
      <c r="N22" s="34">
        <v>350</v>
      </c>
      <c r="O22" s="84">
        <v>350</v>
      </c>
      <c r="P22" s="25">
        <f t="shared" si="2"/>
        <v>1</v>
      </c>
      <c r="Q22" s="25">
        <f t="shared" si="3"/>
        <v>1</v>
      </c>
      <c r="R22" s="26">
        <v>350</v>
      </c>
      <c r="S22" s="26">
        <v>0</v>
      </c>
      <c r="T22" s="27">
        <f t="shared" si="4"/>
        <v>0</v>
      </c>
      <c r="U22" s="27">
        <f t="shared" si="5"/>
        <v>0</v>
      </c>
      <c r="V22" s="28">
        <v>350</v>
      </c>
      <c r="W22" s="28">
        <v>0</v>
      </c>
      <c r="X22" s="29">
        <f t="shared" si="6"/>
        <v>0</v>
      </c>
      <c r="Y22" s="29">
        <f t="shared" si="7"/>
        <v>0</v>
      </c>
      <c r="Z22" s="20">
        <f>+O22</f>
        <v>350</v>
      </c>
      <c r="AA22" s="35">
        <f t="shared" si="8"/>
        <v>1</v>
      </c>
    </row>
    <row r="23" spans="1:27" ht="60" x14ac:dyDescent="0.25">
      <c r="A23" s="89"/>
      <c r="B23" s="85"/>
      <c r="C23" s="3" t="s">
        <v>92</v>
      </c>
      <c r="D23" s="31">
        <v>410204200</v>
      </c>
      <c r="E23" s="2" t="s">
        <v>195</v>
      </c>
      <c r="F23" s="58" t="s">
        <v>149</v>
      </c>
      <c r="G23" s="58" t="s">
        <v>150</v>
      </c>
      <c r="H23" s="31">
        <v>0</v>
      </c>
      <c r="I23" s="31">
        <v>2</v>
      </c>
      <c r="J23" s="32">
        <v>0</v>
      </c>
      <c r="K23" s="32">
        <v>0</v>
      </c>
      <c r="L23" s="37"/>
      <c r="M23" s="23">
        <f t="shared" si="1"/>
        <v>0</v>
      </c>
      <c r="N23" s="34">
        <v>1</v>
      </c>
      <c r="O23" s="84">
        <v>1</v>
      </c>
      <c r="P23" s="25">
        <f t="shared" si="2"/>
        <v>1</v>
      </c>
      <c r="Q23" s="25">
        <f t="shared" si="3"/>
        <v>0.5</v>
      </c>
      <c r="R23" s="26">
        <v>1</v>
      </c>
      <c r="S23" s="26">
        <v>0</v>
      </c>
      <c r="T23" s="27">
        <f t="shared" si="4"/>
        <v>0</v>
      </c>
      <c r="U23" s="27">
        <f t="shared" si="5"/>
        <v>0</v>
      </c>
      <c r="V23" s="28">
        <v>0</v>
      </c>
      <c r="W23" s="28">
        <v>0</v>
      </c>
      <c r="X23" s="38"/>
      <c r="Y23" s="29">
        <f t="shared" si="7"/>
        <v>0</v>
      </c>
      <c r="Z23" s="20">
        <f t="shared" si="9"/>
        <v>1</v>
      </c>
      <c r="AA23" s="30">
        <f t="shared" si="8"/>
        <v>0.5</v>
      </c>
    </row>
    <row r="24" spans="1:27" ht="60" x14ac:dyDescent="0.25">
      <c r="A24" s="89"/>
      <c r="B24" s="85"/>
      <c r="C24" s="3" t="s">
        <v>93</v>
      </c>
      <c r="D24" s="31">
        <v>410203501</v>
      </c>
      <c r="E24" s="2" t="s">
        <v>196</v>
      </c>
      <c r="F24" s="58" t="s">
        <v>149</v>
      </c>
      <c r="G24" s="58" t="s">
        <v>150</v>
      </c>
      <c r="H24" s="31">
        <v>0</v>
      </c>
      <c r="I24" s="31">
        <v>4</v>
      </c>
      <c r="J24" s="32">
        <v>1</v>
      </c>
      <c r="K24" s="32">
        <v>1</v>
      </c>
      <c r="L24" s="23">
        <f t="shared" si="0"/>
        <v>1</v>
      </c>
      <c r="M24" s="23">
        <f t="shared" si="1"/>
        <v>0.25</v>
      </c>
      <c r="N24" s="34">
        <v>1</v>
      </c>
      <c r="O24" s="84">
        <v>1</v>
      </c>
      <c r="P24" s="25">
        <f t="shared" si="2"/>
        <v>1</v>
      </c>
      <c r="Q24" s="25">
        <f>IF((O24/I24)&gt;1,1,O24/I24)</f>
        <v>0.25</v>
      </c>
      <c r="R24" s="26">
        <v>1</v>
      </c>
      <c r="S24" s="26">
        <v>0</v>
      </c>
      <c r="T24" s="27">
        <f t="shared" si="4"/>
        <v>0</v>
      </c>
      <c r="U24" s="27">
        <f t="shared" si="5"/>
        <v>0</v>
      </c>
      <c r="V24" s="28">
        <v>1</v>
      </c>
      <c r="W24" s="28">
        <v>0</v>
      </c>
      <c r="X24" s="29">
        <f t="shared" si="6"/>
        <v>0</v>
      </c>
      <c r="Y24" s="29">
        <f t="shared" si="7"/>
        <v>0</v>
      </c>
      <c r="Z24" s="20">
        <f t="shared" si="9"/>
        <v>2</v>
      </c>
      <c r="AA24" s="30">
        <f t="shared" si="8"/>
        <v>0.5</v>
      </c>
    </row>
    <row r="25" spans="1:27" ht="31.5" x14ac:dyDescent="0.25">
      <c r="A25" s="89"/>
      <c r="B25" s="85"/>
      <c r="C25" s="3" t="s">
        <v>94</v>
      </c>
      <c r="D25" s="2">
        <v>410306701</v>
      </c>
      <c r="E25" s="2" t="s">
        <v>197</v>
      </c>
      <c r="F25" s="58" t="s">
        <v>149</v>
      </c>
      <c r="G25" s="58" t="s">
        <v>150</v>
      </c>
      <c r="H25" s="31">
        <v>0</v>
      </c>
      <c r="I25" s="31">
        <v>1</v>
      </c>
      <c r="J25" s="32">
        <v>0.25</v>
      </c>
      <c r="K25" s="36">
        <v>0.1</v>
      </c>
      <c r="L25" s="23">
        <f t="shared" si="0"/>
        <v>0.4</v>
      </c>
      <c r="M25" s="23">
        <f t="shared" si="1"/>
        <v>0.1</v>
      </c>
      <c r="N25" s="34">
        <v>0.25</v>
      </c>
      <c r="O25" s="84">
        <v>0.25</v>
      </c>
      <c r="P25" s="25">
        <f t="shared" si="2"/>
        <v>1</v>
      </c>
      <c r="Q25" s="25">
        <f t="shared" si="3"/>
        <v>0.25</v>
      </c>
      <c r="R25" s="26">
        <v>0.25</v>
      </c>
      <c r="S25" s="26">
        <v>0</v>
      </c>
      <c r="T25" s="27">
        <f t="shared" si="4"/>
        <v>0</v>
      </c>
      <c r="U25" s="27">
        <f t="shared" si="5"/>
        <v>0</v>
      </c>
      <c r="V25" s="28">
        <v>0.25</v>
      </c>
      <c r="W25" s="28">
        <v>0</v>
      </c>
      <c r="X25" s="29">
        <f t="shared" si="6"/>
        <v>0</v>
      </c>
      <c r="Y25" s="29">
        <f t="shared" si="7"/>
        <v>0</v>
      </c>
      <c r="Z25" s="20">
        <f t="shared" si="9"/>
        <v>0.35</v>
      </c>
      <c r="AA25" s="30">
        <f t="shared" si="8"/>
        <v>0.35</v>
      </c>
    </row>
    <row r="26" spans="1:27" ht="31.5" x14ac:dyDescent="0.25">
      <c r="A26" s="89"/>
      <c r="B26" s="85"/>
      <c r="C26" s="3" t="s">
        <v>95</v>
      </c>
      <c r="D26" s="2">
        <v>410400800</v>
      </c>
      <c r="E26" s="2" t="s">
        <v>198</v>
      </c>
      <c r="F26" s="58" t="s">
        <v>149</v>
      </c>
      <c r="G26" s="58" t="s">
        <v>150</v>
      </c>
      <c r="H26" s="31">
        <v>0</v>
      </c>
      <c r="I26" s="31">
        <v>1600</v>
      </c>
      <c r="J26" s="32">
        <v>400</v>
      </c>
      <c r="K26" s="48">
        <v>400</v>
      </c>
      <c r="L26" s="23">
        <f t="shared" si="0"/>
        <v>1</v>
      </c>
      <c r="M26" s="23">
        <f t="shared" si="1"/>
        <v>0.25</v>
      </c>
      <c r="N26" s="34">
        <v>400</v>
      </c>
      <c r="O26" s="84">
        <v>400</v>
      </c>
      <c r="P26" s="25">
        <f t="shared" si="2"/>
        <v>1</v>
      </c>
      <c r="Q26" s="25">
        <f t="shared" si="3"/>
        <v>0.25</v>
      </c>
      <c r="R26" s="26">
        <v>400</v>
      </c>
      <c r="S26" s="26">
        <v>0</v>
      </c>
      <c r="T26" s="27">
        <f t="shared" si="4"/>
        <v>0</v>
      </c>
      <c r="U26" s="27">
        <f t="shared" si="5"/>
        <v>0</v>
      </c>
      <c r="V26" s="28">
        <v>400</v>
      </c>
      <c r="W26" s="28">
        <v>0</v>
      </c>
      <c r="X26" s="29">
        <f t="shared" si="6"/>
        <v>0</v>
      </c>
      <c r="Y26" s="29">
        <f t="shared" si="7"/>
        <v>0</v>
      </c>
      <c r="Z26" s="49">
        <f>+K26+O26+S26+W26</f>
        <v>800</v>
      </c>
      <c r="AA26" s="35">
        <f t="shared" si="8"/>
        <v>0.5</v>
      </c>
    </row>
    <row r="27" spans="1:27" ht="31.5" x14ac:dyDescent="0.25">
      <c r="A27" s="89"/>
      <c r="B27" s="85"/>
      <c r="C27" s="3" t="s">
        <v>96</v>
      </c>
      <c r="D27" s="2">
        <v>410402000</v>
      </c>
      <c r="E27" s="2" t="s">
        <v>199</v>
      </c>
      <c r="F27" s="58" t="s">
        <v>149</v>
      </c>
      <c r="G27" s="58" t="s">
        <v>150</v>
      </c>
      <c r="H27" s="31">
        <v>0</v>
      </c>
      <c r="I27" s="31">
        <v>120</v>
      </c>
      <c r="J27" s="32">
        <v>30</v>
      </c>
      <c r="K27" s="32">
        <v>48</v>
      </c>
      <c r="L27" s="23">
        <f t="shared" si="0"/>
        <v>1</v>
      </c>
      <c r="M27" s="23">
        <f t="shared" si="1"/>
        <v>0.4</v>
      </c>
      <c r="N27" s="34">
        <v>30</v>
      </c>
      <c r="O27" s="84">
        <v>30</v>
      </c>
      <c r="P27" s="25">
        <f t="shared" si="2"/>
        <v>1</v>
      </c>
      <c r="Q27" s="25">
        <f t="shared" si="3"/>
        <v>0.25</v>
      </c>
      <c r="R27" s="26">
        <v>30</v>
      </c>
      <c r="S27" s="26">
        <v>0</v>
      </c>
      <c r="T27" s="27">
        <f t="shared" si="4"/>
        <v>0</v>
      </c>
      <c r="U27" s="27">
        <f t="shared" si="5"/>
        <v>0</v>
      </c>
      <c r="V27" s="28">
        <v>30</v>
      </c>
      <c r="W27" s="28">
        <v>0</v>
      </c>
      <c r="X27" s="29">
        <f t="shared" si="6"/>
        <v>0</v>
      </c>
      <c r="Y27" s="29">
        <f t="shared" si="7"/>
        <v>0</v>
      </c>
      <c r="Z27" s="20">
        <f t="shared" si="9"/>
        <v>78</v>
      </c>
      <c r="AA27" s="30">
        <f t="shared" si="8"/>
        <v>0.65</v>
      </c>
    </row>
    <row r="28" spans="1:27" ht="45" x14ac:dyDescent="0.25">
      <c r="A28" s="89"/>
      <c r="B28" s="85"/>
      <c r="C28" s="3" t="s">
        <v>97</v>
      </c>
      <c r="D28" s="2">
        <v>410103802</v>
      </c>
      <c r="E28" s="2" t="s">
        <v>200</v>
      </c>
      <c r="F28" s="58" t="s">
        <v>149</v>
      </c>
      <c r="G28" s="58" t="s">
        <v>150</v>
      </c>
      <c r="H28" s="31">
        <v>0</v>
      </c>
      <c r="I28" s="31">
        <v>400</v>
      </c>
      <c r="J28" s="32">
        <v>100</v>
      </c>
      <c r="K28" s="32">
        <v>50</v>
      </c>
      <c r="L28" s="23">
        <f t="shared" si="0"/>
        <v>0.5</v>
      </c>
      <c r="M28" s="23">
        <f t="shared" si="1"/>
        <v>0.125</v>
      </c>
      <c r="N28" s="34">
        <v>100</v>
      </c>
      <c r="O28" s="84">
        <v>100</v>
      </c>
      <c r="P28" s="25">
        <f t="shared" si="2"/>
        <v>1</v>
      </c>
      <c r="Q28" s="25">
        <f t="shared" si="3"/>
        <v>0.25</v>
      </c>
      <c r="R28" s="26">
        <v>100</v>
      </c>
      <c r="S28" s="26">
        <v>0</v>
      </c>
      <c r="T28" s="27">
        <f t="shared" si="4"/>
        <v>0</v>
      </c>
      <c r="U28" s="27">
        <f t="shared" si="5"/>
        <v>0</v>
      </c>
      <c r="V28" s="28">
        <v>100</v>
      </c>
      <c r="W28" s="28">
        <v>0</v>
      </c>
      <c r="X28" s="29">
        <f t="shared" si="6"/>
        <v>0</v>
      </c>
      <c r="Y28" s="29">
        <f t="shared" si="7"/>
        <v>0</v>
      </c>
      <c r="Z28" s="20">
        <f t="shared" si="9"/>
        <v>150</v>
      </c>
      <c r="AA28" s="30">
        <f t="shared" si="8"/>
        <v>0.375</v>
      </c>
    </row>
    <row r="29" spans="1:27" ht="31.5" x14ac:dyDescent="0.25">
      <c r="A29" s="89"/>
      <c r="B29" s="85"/>
      <c r="C29" s="3" t="s">
        <v>98</v>
      </c>
      <c r="D29" s="2">
        <v>450203800</v>
      </c>
      <c r="E29" s="2" t="s">
        <v>201</v>
      </c>
      <c r="F29" s="58" t="s">
        <v>149</v>
      </c>
      <c r="G29" s="58" t="s">
        <v>150</v>
      </c>
      <c r="H29" s="31">
        <v>0</v>
      </c>
      <c r="I29" s="31">
        <v>6000</v>
      </c>
      <c r="J29" s="32">
        <v>1500</v>
      </c>
      <c r="K29" s="32">
        <v>1587</v>
      </c>
      <c r="L29" s="23">
        <f t="shared" si="0"/>
        <v>1</v>
      </c>
      <c r="M29" s="23">
        <f t="shared" si="1"/>
        <v>0.26450000000000001</v>
      </c>
      <c r="N29" s="34">
        <v>1500</v>
      </c>
      <c r="O29" s="84">
        <v>1500</v>
      </c>
      <c r="P29" s="25">
        <f t="shared" si="2"/>
        <v>1</v>
      </c>
      <c r="Q29" s="25">
        <f t="shared" si="3"/>
        <v>0.25</v>
      </c>
      <c r="R29" s="26">
        <v>1500</v>
      </c>
      <c r="S29" s="26">
        <v>0</v>
      </c>
      <c r="T29" s="27">
        <f t="shared" si="4"/>
        <v>0</v>
      </c>
      <c r="U29" s="27">
        <f t="shared" si="5"/>
        <v>0</v>
      </c>
      <c r="V29" s="28">
        <v>1500</v>
      </c>
      <c r="W29" s="28">
        <v>0</v>
      </c>
      <c r="X29" s="29">
        <f t="shared" si="6"/>
        <v>0</v>
      </c>
      <c r="Y29" s="29">
        <f t="shared" si="7"/>
        <v>0</v>
      </c>
      <c r="Z29" s="20">
        <f t="shared" si="9"/>
        <v>3087</v>
      </c>
      <c r="AA29" s="30">
        <f t="shared" si="8"/>
        <v>0.51449999999999996</v>
      </c>
    </row>
    <row r="30" spans="1:27" ht="31.5" x14ac:dyDescent="0.25">
      <c r="A30" s="89"/>
      <c r="B30" s="85"/>
      <c r="C30" s="3" t="s">
        <v>99</v>
      </c>
      <c r="D30" s="2">
        <v>450203800</v>
      </c>
      <c r="E30" s="2" t="s">
        <v>202</v>
      </c>
      <c r="F30" s="58" t="s">
        <v>149</v>
      </c>
      <c r="G30" s="58" t="s">
        <v>150</v>
      </c>
      <c r="H30" s="31">
        <v>0</v>
      </c>
      <c r="I30" s="31">
        <v>1</v>
      </c>
      <c r="J30" s="32">
        <v>0</v>
      </c>
      <c r="K30" s="32">
        <v>0</v>
      </c>
      <c r="L30" s="37"/>
      <c r="M30" s="23">
        <f t="shared" si="1"/>
        <v>0</v>
      </c>
      <c r="N30" s="34">
        <v>0</v>
      </c>
      <c r="O30" s="84">
        <v>0.5</v>
      </c>
      <c r="P30" s="43"/>
      <c r="Q30" s="25">
        <f t="shared" si="3"/>
        <v>0.5</v>
      </c>
      <c r="R30" s="26">
        <v>0</v>
      </c>
      <c r="S30" s="26">
        <v>0</v>
      </c>
      <c r="T30" s="42"/>
      <c r="U30" s="27">
        <f t="shared" si="5"/>
        <v>0</v>
      </c>
      <c r="V30" s="28">
        <v>1</v>
      </c>
      <c r="W30" s="28">
        <v>0</v>
      </c>
      <c r="X30" s="29">
        <f t="shared" si="6"/>
        <v>0</v>
      </c>
      <c r="Y30" s="29">
        <f t="shared" si="7"/>
        <v>0</v>
      </c>
      <c r="Z30" s="20">
        <f t="shared" si="9"/>
        <v>0.5</v>
      </c>
      <c r="AA30" s="35">
        <f t="shared" si="8"/>
        <v>0.5</v>
      </c>
    </row>
    <row r="31" spans="1:27" ht="45" x14ac:dyDescent="0.25">
      <c r="A31" s="89"/>
      <c r="B31" s="85"/>
      <c r="C31" s="3" t="s">
        <v>100</v>
      </c>
      <c r="D31" s="2">
        <v>450203800</v>
      </c>
      <c r="E31" s="2" t="s">
        <v>201</v>
      </c>
      <c r="F31" s="58" t="s">
        <v>149</v>
      </c>
      <c r="G31" s="58" t="s">
        <v>150</v>
      </c>
      <c r="H31" s="31">
        <v>0</v>
      </c>
      <c r="I31" s="31">
        <v>1</v>
      </c>
      <c r="J31" s="36">
        <v>0.2</v>
      </c>
      <c r="K31" s="36">
        <v>0.1</v>
      </c>
      <c r="L31" s="23">
        <f t="shared" si="0"/>
        <v>0.5</v>
      </c>
      <c r="M31" s="23">
        <f t="shared" si="1"/>
        <v>0.1</v>
      </c>
      <c r="N31" s="39">
        <v>0.3</v>
      </c>
      <c r="O31" s="84">
        <v>0.1</v>
      </c>
      <c r="P31" s="25">
        <f t="shared" si="2"/>
        <v>0.33333333333333337</v>
      </c>
      <c r="Q31" s="25">
        <f t="shared" si="3"/>
        <v>0.1</v>
      </c>
      <c r="R31" s="26">
        <v>0.3</v>
      </c>
      <c r="S31" s="26">
        <v>0</v>
      </c>
      <c r="T31" s="27">
        <f t="shared" si="4"/>
        <v>0</v>
      </c>
      <c r="U31" s="27">
        <f t="shared" si="5"/>
        <v>0</v>
      </c>
      <c r="V31" s="28">
        <v>0.2</v>
      </c>
      <c r="W31" s="28">
        <v>0</v>
      </c>
      <c r="X31" s="29">
        <f t="shared" si="6"/>
        <v>0</v>
      </c>
      <c r="Y31" s="29">
        <f t="shared" si="7"/>
        <v>0</v>
      </c>
      <c r="Z31" s="20">
        <f t="shared" si="9"/>
        <v>0.2</v>
      </c>
      <c r="AA31" s="30">
        <f t="shared" si="8"/>
        <v>0.2</v>
      </c>
    </row>
    <row r="32" spans="1:27" ht="30" x14ac:dyDescent="0.25">
      <c r="A32" s="89"/>
      <c r="B32" s="85"/>
      <c r="C32" s="3" t="s">
        <v>101</v>
      </c>
      <c r="D32" s="2">
        <v>450202201</v>
      </c>
      <c r="E32" s="2" t="s">
        <v>203</v>
      </c>
      <c r="F32" s="58" t="s">
        <v>149</v>
      </c>
      <c r="G32" s="58" t="s">
        <v>150</v>
      </c>
      <c r="H32" s="31">
        <v>0</v>
      </c>
      <c r="I32" s="31">
        <v>44</v>
      </c>
      <c r="J32" s="32">
        <v>11</v>
      </c>
      <c r="K32" s="32">
        <v>0</v>
      </c>
      <c r="L32" s="23">
        <f t="shared" si="0"/>
        <v>0</v>
      </c>
      <c r="M32" s="23">
        <f t="shared" si="1"/>
        <v>0</v>
      </c>
      <c r="N32" s="34">
        <v>11</v>
      </c>
      <c r="O32" s="84">
        <v>9</v>
      </c>
      <c r="P32" s="25">
        <f t="shared" si="2"/>
        <v>0.81818181818181823</v>
      </c>
      <c r="Q32" s="25">
        <f t="shared" si="3"/>
        <v>0.20454545454545456</v>
      </c>
      <c r="R32" s="26">
        <v>11</v>
      </c>
      <c r="S32" s="26">
        <v>0</v>
      </c>
      <c r="T32" s="27">
        <f t="shared" si="4"/>
        <v>0</v>
      </c>
      <c r="U32" s="27">
        <f t="shared" si="5"/>
        <v>0</v>
      </c>
      <c r="V32" s="28">
        <v>11</v>
      </c>
      <c r="W32" s="28">
        <v>0</v>
      </c>
      <c r="X32" s="29">
        <f t="shared" si="6"/>
        <v>0</v>
      </c>
      <c r="Y32" s="29">
        <f t="shared" si="7"/>
        <v>0</v>
      </c>
      <c r="Z32" s="20">
        <f t="shared" si="9"/>
        <v>9</v>
      </c>
      <c r="AA32" s="30">
        <f t="shared" si="8"/>
        <v>0.20454545454545456</v>
      </c>
    </row>
    <row r="33" spans="1:27" ht="31.5" x14ac:dyDescent="0.25">
      <c r="A33" s="89"/>
      <c r="B33" s="85"/>
      <c r="C33" s="3" t="s">
        <v>102</v>
      </c>
      <c r="D33" s="2">
        <v>450202402</v>
      </c>
      <c r="E33" s="2" t="s">
        <v>202</v>
      </c>
      <c r="F33" s="58" t="s">
        <v>149</v>
      </c>
      <c r="G33" s="58" t="s">
        <v>150</v>
      </c>
      <c r="H33" s="31">
        <v>0</v>
      </c>
      <c r="I33" s="31">
        <v>1</v>
      </c>
      <c r="J33" s="32">
        <v>0.25</v>
      </c>
      <c r="K33" s="32">
        <v>0</v>
      </c>
      <c r="L33" s="23">
        <f t="shared" si="0"/>
        <v>0</v>
      </c>
      <c r="M33" s="23">
        <f t="shared" si="1"/>
        <v>0</v>
      </c>
      <c r="N33" s="34">
        <v>0.25</v>
      </c>
      <c r="O33" s="84">
        <v>0.15</v>
      </c>
      <c r="P33" s="25">
        <f t="shared" si="2"/>
        <v>0.6</v>
      </c>
      <c r="Q33" s="25">
        <f t="shared" si="3"/>
        <v>0.15</v>
      </c>
      <c r="R33" s="26">
        <v>0.25</v>
      </c>
      <c r="S33" s="26">
        <v>0</v>
      </c>
      <c r="T33" s="27">
        <f t="shared" si="4"/>
        <v>0</v>
      </c>
      <c r="U33" s="27">
        <f t="shared" si="5"/>
        <v>0</v>
      </c>
      <c r="V33" s="28">
        <v>0.25</v>
      </c>
      <c r="W33" s="28">
        <v>0</v>
      </c>
      <c r="X33" s="29">
        <f t="shared" si="6"/>
        <v>0</v>
      </c>
      <c r="Y33" s="29">
        <f t="shared" si="7"/>
        <v>0</v>
      </c>
      <c r="Z33" s="20">
        <f t="shared" si="9"/>
        <v>0.15</v>
      </c>
      <c r="AA33" s="30">
        <f t="shared" si="8"/>
        <v>0.15</v>
      </c>
    </row>
    <row r="34" spans="1:27" ht="52.5" x14ac:dyDescent="0.25">
      <c r="K34" s="71" t="s">
        <v>35</v>
      </c>
      <c r="L34" s="78">
        <f>AVERAGE(L3:L33)</f>
        <v>0.76425324675324668</v>
      </c>
      <c r="M34" s="78">
        <f>AVERAGE(M3:M33)</f>
        <v>0.31625931607333546</v>
      </c>
      <c r="N34" s="72"/>
      <c r="O34" s="71" t="s">
        <v>36</v>
      </c>
      <c r="P34" s="75">
        <f>AVERAGE(P3:P33)</f>
        <v>0.93396029258098212</v>
      </c>
      <c r="Q34" s="75">
        <f>AVERAGE(Q3:Q33)</f>
        <v>0.3641319218975469</v>
      </c>
      <c r="R34" s="73"/>
      <c r="S34" s="63" t="s">
        <v>45</v>
      </c>
      <c r="T34" s="76">
        <f>AVERAGE(T3:T33)</f>
        <v>0</v>
      </c>
      <c r="U34" s="77">
        <f>AVERAGE(U3:U33)</f>
        <v>0</v>
      </c>
      <c r="V34" s="74"/>
      <c r="W34" s="63" t="s">
        <v>45</v>
      </c>
      <c r="X34" s="76">
        <f>AVERAGE(X3:X33)</f>
        <v>0</v>
      </c>
      <c r="Y34" s="76">
        <f>AVERAGE(Y3:Y33)</f>
        <v>0</v>
      </c>
      <c r="Z34" s="71" t="s">
        <v>46</v>
      </c>
      <c r="AA34" s="16">
        <f>AVERAGE(AA3:AA33)</f>
        <v>0.5403296347555494</v>
      </c>
    </row>
    <row r="35" spans="1:27" x14ac:dyDescent="0.25">
      <c r="AA35" s="8"/>
    </row>
    <row r="36" spans="1:27" x14ac:dyDescent="0.25">
      <c r="M36"/>
      <c r="Q36"/>
      <c r="R36"/>
      <c r="S36"/>
      <c r="T36"/>
      <c r="U36"/>
      <c r="V36"/>
      <c r="W36"/>
      <c r="X36"/>
      <c r="Y36"/>
    </row>
    <row r="38" spans="1:27" x14ac:dyDescent="0.25">
      <c r="M38" s="1"/>
      <c r="Q38" s="9"/>
      <c r="R38" s="9"/>
      <c r="S38" s="9"/>
      <c r="T38" s="9"/>
      <c r="U38" s="9"/>
      <c r="V38" s="9"/>
      <c r="W38" s="9"/>
      <c r="X38" s="9"/>
      <c r="Y38" s="9"/>
    </row>
    <row r="39" spans="1:27" x14ac:dyDescent="0.25">
      <c r="M39" s="1"/>
      <c r="Q39" s="9"/>
      <c r="R39" s="9"/>
      <c r="S39" s="9"/>
      <c r="T39" s="9"/>
      <c r="U39" s="9"/>
      <c r="V39" s="9"/>
      <c r="W39" s="9"/>
      <c r="X39" s="9"/>
      <c r="Y39" s="9"/>
    </row>
  </sheetData>
  <mergeCells count="7">
    <mergeCell ref="A1:AD1"/>
    <mergeCell ref="AB2:AD2"/>
    <mergeCell ref="A3:A33"/>
    <mergeCell ref="B3:B9"/>
    <mergeCell ref="B10:B15"/>
    <mergeCell ref="B16:B21"/>
    <mergeCell ref="B22:B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7F5D-80FC-4FF0-952D-EDF780DDA345}">
  <dimension ref="A1:AC15"/>
  <sheetViews>
    <sheetView topLeftCell="F4" zoomScale="53" zoomScaleNormal="53" workbookViewId="0">
      <selection activeCell="N3" sqref="N3:N9"/>
    </sheetView>
  </sheetViews>
  <sheetFormatPr baseColWidth="10" defaultColWidth="54.5703125" defaultRowHeight="15" x14ac:dyDescent="0.25"/>
  <cols>
    <col min="1" max="1" width="54.5703125" style="5"/>
    <col min="2" max="2" width="67.140625" style="6" customWidth="1"/>
    <col min="3" max="3" width="25.7109375" customWidth="1"/>
    <col min="4" max="4" width="39.7109375" style="6" customWidth="1"/>
    <col min="5" max="5" width="21.5703125" customWidth="1"/>
    <col min="6" max="6" width="21.28515625" style="7" customWidth="1"/>
    <col min="7" max="7" width="16.28515625" style="7" customWidth="1"/>
    <col min="8" max="8" width="19.85546875" customWidth="1"/>
    <col min="9" max="9" width="15.140625" style="5" customWidth="1"/>
    <col min="10" max="10" width="19.42578125" style="5" customWidth="1"/>
    <col min="11" max="11" width="30.7109375" style="5" customWidth="1"/>
    <col min="12" max="12" width="26.5703125" style="5" customWidth="1"/>
    <col min="13" max="13" width="14.140625" style="5" customWidth="1"/>
    <col min="14" max="14" width="19.42578125" customWidth="1"/>
    <col min="15" max="15" width="27.7109375" style="5" customWidth="1"/>
    <col min="16" max="16" width="19.42578125" style="5" customWidth="1"/>
    <col min="17" max="17" width="13.42578125" style="5" customWidth="1"/>
    <col min="18" max="18" width="19.42578125" style="5" customWidth="1"/>
    <col min="19" max="19" width="28.140625" style="5" customWidth="1"/>
    <col min="20" max="20" width="20" style="5" customWidth="1"/>
    <col min="21" max="21" width="12.7109375" style="5" customWidth="1"/>
    <col min="22" max="22" width="19.42578125" style="5" customWidth="1"/>
    <col min="23" max="23" width="29.42578125" style="5" customWidth="1"/>
    <col min="24" max="24" width="21" style="5" customWidth="1"/>
    <col min="25" max="25" width="35.5703125" customWidth="1"/>
    <col min="26" max="26" width="24.28515625" customWidth="1"/>
    <col min="27" max="27" width="80.140625" customWidth="1"/>
    <col min="28" max="28" width="29.140625" customWidth="1"/>
    <col min="29" max="29" width="27" customWidth="1"/>
  </cols>
  <sheetData>
    <row r="1" spans="1:29" s="15" customFormat="1" ht="73.5" customHeight="1" x14ac:dyDescent="0.25">
      <c r="A1" s="87" t="s">
        <v>241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</row>
    <row r="2" spans="1:29" s="15" customFormat="1" ht="91.5" customHeight="1" x14ac:dyDescent="0.25">
      <c r="A2" s="63" t="s">
        <v>0</v>
      </c>
      <c r="B2" s="64" t="s">
        <v>1</v>
      </c>
      <c r="C2" s="64" t="s">
        <v>2</v>
      </c>
      <c r="D2" s="64" t="s">
        <v>3</v>
      </c>
      <c r="E2" s="64" t="s">
        <v>4</v>
      </c>
      <c r="F2" s="64" t="s">
        <v>5</v>
      </c>
      <c r="G2" s="64" t="s">
        <v>49</v>
      </c>
      <c r="H2" s="64" t="s">
        <v>6</v>
      </c>
      <c r="I2" s="64" t="s">
        <v>7</v>
      </c>
      <c r="J2" s="64" t="s">
        <v>38</v>
      </c>
      <c r="K2" s="64" t="s">
        <v>10</v>
      </c>
      <c r="L2" s="64" t="s">
        <v>13</v>
      </c>
      <c r="M2" s="64" t="s">
        <v>8</v>
      </c>
      <c r="N2" s="64" t="s">
        <v>37</v>
      </c>
      <c r="O2" s="64" t="s">
        <v>11</v>
      </c>
      <c r="P2" s="64" t="s">
        <v>12</v>
      </c>
      <c r="Q2" s="64" t="s">
        <v>41</v>
      </c>
      <c r="R2" s="64" t="s">
        <v>42</v>
      </c>
      <c r="S2" s="64" t="s">
        <v>43</v>
      </c>
      <c r="T2" s="64" t="s">
        <v>44</v>
      </c>
      <c r="U2" s="64" t="s">
        <v>47</v>
      </c>
      <c r="V2" s="64" t="s">
        <v>48</v>
      </c>
      <c r="W2" s="64" t="s">
        <v>43</v>
      </c>
      <c r="X2" s="64" t="s">
        <v>44</v>
      </c>
      <c r="Y2" s="64" t="s">
        <v>34</v>
      </c>
      <c r="Z2" s="65" t="s">
        <v>39</v>
      </c>
      <c r="AA2" s="86" t="s">
        <v>240</v>
      </c>
      <c r="AB2" s="86"/>
      <c r="AC2" s="86"/>
    </row>
    <row r="3" spans="1:29" ht="93" customHeight="1" x14ac:dyDescent="0.25">
      <c r="A3" s="85" t="s">
        <v>25</v>
      </c>
      <c r="B3" s="13" t="s">
        <v>103</v>
      </c>
      <c r="C3" s="2">
        <v>350209400</v>
      </c>
      <c r="D3" s="60" t="s">
        <v>204</v>
      </c>
      <c r="E3" s="58" t="s">
        <v>149</v>
      </c>
      <c r="F3" s="58" t="s">
        <v>150</v>
      </c>
      <c r="G3" s="31">
        <v>0</v>
      </c>
      <c r="H3" s="31">
        <v>1</v>
      </c>
      <c r="I3" s="32">
        <v>0.25</v>
      </c>
      <c r="J3" s="32">
        <v>0.25</v>
      </c>
      <c r="K3" s="23">
        <f t="shared" ref="K3:K9" si="0">IF((J3/I3)&gt;1,1,J3/I3)</f>
        <v>1</v>
      </c>
      <c r="L3" s="23">
        <f t="shared" ref="L3:L9" si="1">IF((J3/H3)&gt;1,1,J3/H3)</f>
        <v>0.25</v>
      </c>
      <c r="M3" s="50">
        <v>0.25</v>
      </c>
      <c r="N3" s="84">
        <v>0</v>
      </c>
      <c r="O3" s="25">
        <f t="shared" ref="O3:O9" si="2">IF((N3/M3)&gt;1,1,N3/M3)</f>
        <v>0</v>
      </c>
      <c r="P3" s="25">
        <f t="shared" ref="P3:P9" si="3">IF((N3/H3)&gt;1,1,N3/H3)</f>
        <v>0</v>
      </c>
      <c r="Q3" s="26">
        <v>0.25</v>
      </c>
      <c r="R3" s="26">
        <v>0</v>
      </c>
      <c r="S3" s="27">
        <f t="shared" ref="S3:S9" si="4">IF((R3/Q3)&gt;1,1,R3/Q3)</f>
        <v>0</v>
      </c>
      <c r="T3" s="27">
        <f t="shared" ref="T3:T9" si="5">IF((R3/H3)&gt;1,1,R3/H3)</f>
        <v>0</v>
      </c>
      <c r="U3" s="28">
        <v>0.25</v>
      </c>
      <c r="V3" s="28">
        <v>0</v>
      </c>
      <c r="W3" s="29">
        <f t="shared" ref="W3:W9" si="6">IF((V3/U3)&gt;1,1,V3/U3)</f>
        <v>0</v>
      </c>
      <c r="X3" s="29">
        <f t="shared" ref="X3:X9" si="7">IF((V3/H3)&gt;1,1,V3/H3)</f>
        <v>0</v>
      </c>
      <c r="Y3" s="20">
        <f t="shared" ref="Y3:Y9" si="8">+J3+N3+R3+V3</f>
        <v>0.25</v>
      </c>
      <c r="Z3" s="30">
        <f t="shared" ref="Z3:Z9" si="9">IF((Y3/H3)&gt;1,1,Y3/H3)</f>
        <v>0.25</v>
      </c>
      <c r="AA3" s="63" t="s">
        <v>15</v>
      </c>
      <c r="AB3" s="64" t="s">
        <v>40</v>
      </c>
      <c r="AC3" s="64" t="s">
        <v>39</v>
      </c>
    </row>
    <row r="4" spans="1:29" ht="93" customHeight="1" x14ac:dyDescent="0.25">
      <c r="A4" s="85"/>
      <c r="B4" s="14" t="s">
        <v>104</v>
      </c>
      <c r="C4" s="2">
        <v>350211300</v>
      </c>
      <c r="D4" s="61" t="s">
        <v>205</v>
      </c>
      <c r="E4" s="58" t="s">
        <v>149</v>
      </c>
      <c r="F4" s="58" t="s">
        <v>150</v>
      </c>
      <c r="G4" s="31">
        <v>0</v>
      </c>
      <c r="H4" s="31">
        <v>2</v>
      </c>
      <c r="I4" s="32">
        <v>0</v>
      </c>
      <c r="J4" s="32">
        <v>0</v>
      </c>
      <c r="K4" s="37"/>
      <c r="L4" s="23">
        <f t="shared" si="1"/>
        <v>0</v>
      </c>
      <c r="M4" s="50">
        <v>1</v>
      </c>
      <c r="N4" s="84">
        <v>1</v>
      </c>
      <c r="O4" s="25">
        <f t="shared" si="2"/>
        <v>1</v>
      </c>
      <c r="P4" s="25">
        <f t="shared" si="3"/>
        <v>0.5</v>
      </c>
      <c r="Q4" s="26">
        <v>1</v>
      </c>
      <c r="R4" s="26">
        <v>0</v>
      </c>
      <c r="S4" s="27">
        <f t="shared" si="4"/>
        <v>0</v>
      </c>
      <c r="T4" s="27">
        <f t="shared" si="5"/>
        <v>0</v>
      </c>
      <c r="U4" s="28">
        <v>0</v>
      </c>
      <c r="V4" s="28">
        <v>0</v>
      </c>
      <c r="W4" s="38"/>
      <c r="X4" s="29">
        <f t="shared" si="7"/>
        <v>0</v>
      </c>
      <c r="Y4" s="20">
        <f t="shared" si="8"/>
        <v>1</v>
      </c>
      <c r="Z4" s="30">
        <f t="shared" si="9"/>
        <v>0.5</v>
      </c>
      <c r="AA4" s="70" t="s">
        <v>236</v>
      </c>
      <c r="AB4" s="69">
        <v>7</v>
      </c>
      <c r="AC4" s="16">
        <f>Z10</f>
        <v>0.55214285714285716</v>
      </c>
    </row>
    <row r="5" spans="1:29" ht="93" customHeight="1" x14ac:dyDescent="0.25">
      <c r="A5" s="85"/>
      <c r="B5" s="14" t="s">
        <v>105</v>
      </c>
      <c r="C5" s="2">
        <v>350200301</v>
      </c>
      <c r="D5" s="61" t="s">
        <v>206</v>
      </c>
      <c r="E5" s="58" t="s">
        <v>149</v>
      </c>
      <c r="F5" s="51" t="s">
        <v>171</v>
      </c>
      <c r="G5" s="31">
        <v>1</v>
      </c>
      <c r="H5" s="31">
        <v>1</v>
      </c>
      <c r="I5" s="32">
        <v>1</v>
      </c>
      <c r="J5" s="36">
        <v>0.5</v>
      </c>
      <c r="K5" s="23">
        <f t="shared" si="0"/>
        <v>0.5</v>
      </c>
      <c r="L5" s="23">
        <f t="shared" si="1"/>
        <v>0.5</v>
      </c>
      <c r="M5" s="50">
        <v>1</v>
      </c>
      <c r="N5" s="84">
        <v>1</v>
      </c>
      <c r="O5" s="25">
        <f t="shared" si="2"/>
        <v>1</v>
      </c>
      <c r="P5" s="25">
        <f t="shared" si="3"/>
        <v>1</v>
      </c>
      <c r="Q5" s="26">
        <v>1</v>
      </c>
      <c r="R5" s="26">
        <v>0</v>
      </c>
      <c r="S5" s="27">
        <f t="shared" si="4"/>
        <v>0</v>
      </c>
      <c r="T5" s="27">
        <f t="shared" si="5"/>
        <v>0</v>
      </c>
      <c r="U5" s="28">
        <v>1</v>
      </c>
      <c r="V5" s="28">
        <v>0</v>
      </c>
      <c r="W5" s="29">
        <f t="shared" si="6"/>
        <v>0</v>
      </c>
      <c r="X5" s="29">
        <f t="shared" si="7"/>
        <v>0</v>
      </c>
      <c r="Y5" s="20">
        <f t="shared" si="8"/>
        <v>1.5</v>
      </c>
      <c r="Z5" s="35">
        <f t="shared" si="9"/>
        <v>1</v>
      </c>
    </row>
    <row r="6" spans="1:29" ht="93" customHeight="1" x14ac:dyDescent="0.25">
      <c r="A6" s="85"/>
      <c r="B6" s="14" t="s">
        <v>106</v>
      </c>
      <c r="C6" s="2">
        <v>359906801</v>
      </c>
      <c r="D6" s="61" t="s">
        <v>153</v>
      </c>
      <c r="E6" s="58" t="s">
        <v>149</v>
      </c>
      <c r="F6" s="58" t="s">
        <v>150</v>
      </c>
      <c r="G6" s="31">
        <v>0</v>
      </c>
      <c r="H6" s="31">
        <v>1</v>
      </c>
      <c r="I6" s="32">
        <v>0.25</v>
      </c>
      <c r="J6" s="32">
        <v>0.25</v>
      </c>
      <c r="K6" s="23">
        <f t="shared" si="0"/>
        <v>1</v>
      </c>
      <c r="L6" s="23">
        <f t="shared" si="1"/>
        <v>0.25</v>
      </c>
      <c r="M6" s="50">
        <v>0.25</v>
      </c>
      <c r="N6" s="84">
        <v>0</v>
      </c>
      <c r="O6" s="25">
        <f t="shared" si="2"/>
        <v>0</v>
      </c>
      <c r="P6" s="25">
        <f t="shared" si="3"/>
        <v>0</v>
      </c>
      <c r="Q6" s="26">
        <v>0.25</v>
      </c>
      <c r="R6" s="26">
        <v>0</v>
      </c>
      <c r="S6" s="27">
        <f t="shared" si="4"/>
        <v>0</v>
      </c>
      <c r="T6" s="27">
        <f t="shared" si="5"/>
        <v>0</v>
      </c>
      <c r="U6" s="28">
        <v>0.25</v>
      </c>
      <c r="V6" s="28">
        <v>0</v>
      </c>
      <c r="W6" s="29">
        <f t="shared" si="6"/>
        <v>0</v>
      </c>
      <c r="X6" s="29">
        <f t="shared" si="7"/>
        <v>0</v>
      </c>
      <c r="Y6" s="20">
        <f t="shared" si="8"/>
        <v>0.25</v>
      </c>
      <c r="Z6" s="30">
        <f t="shared" si="9"/>
        <v>0.25</v>
      </c>
    </row>
    <row r="7" spans="1:29" ht="93" customHeight="1" x14ac:dyDescent="0.25">
      <c r="A7" s="85" t="s">
        <v>26</v>
      </c>
      <c r="B7" s="10" t="s">
        <v>107</v>
      </c>
      <c r="C7" s="31">
        <v>230200300</v>
      </c>
      <c r="D7" s="58" t="s">
        <v>207</v>
      </c>
      <c r="E7" s="58" t="s">
        <v>149</v>
      </c>
      <c r="F7" s="58" t="s">
        <v>150</v>
      </c>
      <c r="G7" s="31">
        <v>0</v>
      </c>
      <c r="H7" s="31">
        <v>4</v>
      </c>
      <c r="I7" s="32">
        <v>1</v>
      </c>
      <c r="J7" s="36">
        <v>0.7</v>
      </c>
      <c r="K7" s="23">
        <f t="shared" si="0"/>
        <v>0.7</v>
      </c>
      <c r="L7" s="23">
        <f t="shared" si="1"/>
        <v>0.17499999999999999</v>
      </c>
      <c r="M7" s="50">
        <v>1</v>
      </c>
      <c r="N7" s="39">
        <v>1</v>
      </c>
      <c r="O7" s="25">
        <f t="shared" si="2"/>
        <v>1</v>
      </c>
      <c r="P7" s="25">
        <f t="shared" si="3"/>
        <v>0.25</v>
      </c>
      <c r="Q7" s="26">
        <v>1</v>
      </c>
      <c r="R7" s="26">
        <v>0</v>
      </c>
      <c r="S7" s="27">
        <f t="shared" si="4"/>
        <v>0</v>
      </c>
      <c r="T7" s="27">
        <f t="shared" si="5"/>
        <v>0</v>
      </c>
      <c r="U7" s="28">
        <v>1</v>
      </c>
      <c r="V7" s="28">
        <v>0</v>
      </c>
      <c r="W7" s="29">
        <f t="shared" si="6"/>
        <v>0</v>
      </c>
      <c r="X7" s="29">
        <f t="shared" si="7"/>
        <v>0</v>
      </c>
      <c r="Y7" s="20">
        <f t="shared" si="8"/>
        <v>1.7</v>
      </c>
      <c r="Z7" s="30">
        <f t="shared" si="9"/>
        <v>0.42499999999999999</v>
      </c>
    </row>
    <row r="8" spans="1:29" ht="93" customHeight="1" x14ac:dyDescent="0.25">
      <c r="A8" s="85"/>
      <c r="B8" s="10" t="s">
        <v>108</v>
      </c>
      <c r="C8" s="31" t="s">
        <v>248</v>
      </c>
      <c r="D8" s="58" t="s">
        <v>208</v>
      </c>
      <c r="E8" s="58" t="s">
        <v>149</v>
      </c>
      <c r="F8" s="58" t="s">
        <v>150</v>
      </c>
      <c r="G8" s="31">
        <v>0</v>
      </c>
      <c r="H8" s="31">
        <v>160</v>
      </c>
      <c r="I8" s="32">
        <v>40</v>
      </c>
      <c r="J8" s="32">
        <v>102</v>
      </c>
      <c r="K8" s="23">
        <f t="shared" si="0"/>
        <v>1</v>
      </c>
      <c r="L8" s="23">
        <f t="shared" si="1"/>
        <v>0.63749999999999996</v>
      </c>
      <c r="M8" s="50">
        <v>40</v>
      </c>
      <c r="N8" s="39">
        <v>22</v>
      </c>
      <c r="O8" s="25">
        <f t="shared" si="2"/>
        <v>0.55000000000000004</v>
      </c>
      <c r="P8" s="25">
        <f t="shared" si="3"/>
        <v>0.13750000000000001</v>
      </c>
      <c r="Q8" s="26">
        <v>40</v>
      </c>
      <c r="R8" s="26">
        <v>0</v>
      </c>
      <c r="S8" s="27">
        <f t="shared" si="4"/>
        <v>0</v>
      </c>
      <c r="T8" s="27">
        <f t="shared" si="5"/>
        <v>0</v>
      </c>
      <c r="U8" s="28">
        <v>40</v>
      </c>
      <c r="V8" s="28">
        <v>0</v>
      </c>
      <c r="W8" s="29">
        <f t="shared" si="6"/>
        <v>0</v>
      </c>
      <c r="X8" s="29">
        <f t="shared" si="7"/>
        <v>0</v>
      </c>
      <c r="Y8" s="20">
        <f t="shared" si="8"/>
        <v>124</v>
      </c>
      <c r="Z8" s="30">
        <f t="shared" si="9"/>
        <v>0.77500000000000002</v>
      </c>
    </row>
    <row r="9" spans="1:29" ht="93" customHeight="1" x14ac:dyDescent="0.25">
      <c r="A9" s="85"/>
      <c r="B9" s="10" t="s">
        <v>109</v>
      </c>
      <c r="C9" s="31">
        <v>230102700</v>
      </c>
      <c r="D9" s="58" t="s">
        <v>209</v>
      </c>
      <c r="E9" s="58" t="s">
        <v>149</v>
      </c>
      <c r="F9" s="58" t="s">
        <v>150</v>
      </c>
      <c r="G9" s="31">
        <v>0</v>
      </c>
      <c r="H9" s="31">
        <v>200</v>
      </c>
      <c r="I9" s="32">
        <v>50</v>
      </c>
      <c r="J9" s="32">
        <v>0</v>
      </c>
      <c r="K9" s="23">
        <f t="shared" si="0"/>
        <v>0</v>
      </c>
      <c r="L9" s="23">
        <f t="shared" si="1"/>
        <v>0</v>
      </c>
      <c r="M9" s="50">
        <v>50</v>
      </c>
      <c r="N9" s="39">
        <v>133</v>
      </c>
      <c r="O9" s="25">
        <f t="shared" si="2"/>
        <v>1</v>
      </c>
      <c r="P9" s="25">
        <f t="shared" si="3"/>
        <v>0.66500000000000004</v>
      </c>
      <c r="Q9" s="26">
        <v>50</v>
      </c>
      <c r="R9" s="26">
        <v>0</v>
      </c>
      <c r="S9" s="27">
        <f t="shared" si="4"/>
        <v>0</v>
      </c>
      <c r="T9" s="27">
        <f t="shared" si="5"/>
        <v>0</v>
      </c>
      <c r="U9" s="28">
        <v>50</v>
      </c>
      <c r="V9" s="28">
        <v>0</v>
      </c>
      <c r="W9" s="29">
        <f t="shared" si="6"/>
        <v>0</v>
      </c>
      <c r="X9" s="29">
        <f t="shared" si="7"/>
        <v>0</v>
      </c>
      <c r="Y9" s="20">
        <f t="shared" si="8"/>
        <v>133</v>
      </c>
      <c r="Z9" s="30">
        <f t="shared" si="9"/>
        <v>0.66500000000000004</v>
      </c>
    </row>
    <row r="10" spans="1:29" ht="60.75" customHeight="1" x14ac:dyDescent="0.25">
      <c r="J10" s="71" t="s">
        <v>35</v>
      </c>
      <c r="K10" s="78">
        <f>AVERAGE(K3:K9)</f>
        <v>0.70000000000000007</v>
      </c>
      <c r="L10" s="78">
        <f>AVERAGE(L3:L9)</f>
        <v>0.25892857142857145</v>
      </c>
      <c r="M10" s="72"/>
      <c r="N10" s="71" t="s">
        <v>36</v>
      </c>
      <c r="O10" s="75">
        <f>AVERAGE(O3:O9)</f>
        <v>0.65</v>
      </c>
      <c r="P10" s="75">
        <f>AVERAGE(P3:P9)</f>
        <v>0.36464285714285716</v>
      </c>
      <c r="Q10" s="73"/>
      <c r="R10" s="63" t="s">
        <v>45</v>
      </c>
      <c r="S10" s="76">
        <f>AVERAGE(S3:S9)</f>
        <v>0</v>
      </c>
      <c r="T10" s="77">
        <f>AVERAGE(T3:T9)</f>
        <v>0</v>
      </c>
      <c r="U10" s="74"/>
      <c r="V10" s="63" t="s">
        <v>45</v>
      </c>
      <c r="W10" s="76">
        <f>AVERAGE(W3:W9)</f>
        <v>0</v>
      </c>
      <c r="X10" s="76">
        <f>AVERAGE(X3:X9)</f>
        <v>0</v>
      </c>
      <c r="Y10" s="71" t="s">
        <v>46</v>
      </c>
      <c r="Z10" s="16">
        <f>AVERAGE(Z3:Z9)</f>
        <v>0.55214285714285716</v>
      </c>
    </row>
    <row r="11" spans="1:29" x14ac:dyDescent="0.25">
      <c r="Z11" s="8"/>
    </row>
    <row r="12" spans="1:29" x14ac:dyDescent="0.25">
      <c r="L12"/>
      <c r="P12"/>
      <c r="Q12"/>
      <c r="R12"/>
      <c r="S12"/>
      <c r="T12"/>
      <c r="U12"/>
      <c r="V12"/>
      <c r="W12"/>
      <c r="X12"/>
    </row>
    <row r="14" spans="1:29" x14ac:dyDescent="0.25">
      <c r="L14" s="1"/>
      <c r="P14" s="9"/>
      <c r="Q14" s="9"/>
      <c r="R14" s="9"/>
      <c r="S14" s="9"/>
      <c r="T14" s="9"/>
      <c r="U14" s="9"/>
      <c r="V14" s="9"/>
      <c r="W14" s="9"/>
      <c r="X14" s="9"/>
    </row>
    <row r="15" spans="1:29" x14ac:dyDescent="0.25">
      <c r="L15" s="1"/>
      <c r="P15" s="9"/>
      <c r="Q15" s="9"/>
      <c r="R15" s="9"/>
      <c r="S15" s="9"/>
      <c r="T15" s="9"/>
      <c r="U15" s="9"/>
      <c r="V15" s="9"/>
      <c r="W15" s="9"/>
      <c r="X15" s="9"/>
    </row>
  </sheetData>
  <mergeCells count="4">
    <mergeCell ref="A1:AC1"/>
    <mergeCell ref="A3:A6"/>
    <mergeCell ref="A7:A9"/>
    <mergeCell ref="AA2:A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A990-0200-4CD8-8574-4052AF70307A}">
  <dimension ref="A1:AC19"/>
  <sheetViews>
    <sheetView topLeftCell="E1" zoomScale="53" zoomScaleNormal="53" workbookViewId="0">
      <selection activeCell="N3" sqref="N3:N13"/>
    </sheetView>
  </sheetViews>
  <sheetFormatPr baseColWidth="10" defaultColWidth="54.5703125" defaultRowHeight="15" x14ac:dyDescent="0.25"/>
  <cols>
    <col min="1" max="1" width="46" style="5" customWidth="1"/>
    <col min="2" max="2" width="67.140625" style="6" customWidth="1"/>
    <col min="3" max="3" width="21.7109375" customWidth="1"/>
    <col min="4" max="4" width="39.7109375" style="6" customWidth="1"/>
    <col min="5" max="5" width="21.5703125" customWidth="1"/>
    <col min="6" max="6" width="25.85546875" style="7" customWidth="1"/>
    <col min="7" max="7" width="10.85546875" style="7" customWidth="1"/>
    <col min="8" max="8" width="19.85546875" customWidth="1"/>
    <col min="9" max="9" width="15.140625" style="5" customWidth="1"/>
    <col min="10" max="10" width="19.42578125" style="5" customWidth="1"/>
    <col min="11" max="11" width="24.7109375" style="5" customWidth="1"/>
    <col min="12" max="12" width="15.85546875" style="5" customWidth="1"/>
    <col min="13" max="13" width="14.140625" style="5" customWidth="1"/>
    <col min="14" max="14" width="19.42578125" customWidth="1"/>
    <col min="15" max="15" width="29.28515625" style="5" customWidth="1"/>
    <col min="16" max="16" width="21.28515625" style="5" customWidth="1"/>
    <col min="17" max="17" width="13.42578125" style="5" customWidth="1"/>
    <col min="18" max="18" width="19.42578125" style="5" customWidth="1"/>
    <col min="19" max="19" width="27.7109375" style="5" customWidth="1"/>
    <col min="20" max="20" width="21.42578125" style="5" customWidth="1"/>
    <col min="21" max="21" width="12.7109375" style="5" customWidth="1"/>
    <col min="22" max="22" width="19.42578125" style="5" customWidth="1"/>
    <col min="23" max="23" width="29.42578125" style="5" customWidth="1"/>
    <col min="24" max="24" width="16.42578125" style="5" customWidth="1"/>
    <col min="25" max="25" width="36.5703125" customWidth="1"/>
    <col min="26" max="26" width="25.5703125" customWidth="1"/>
    <col min="27" max="27" width="80.140625" customWidth="1"/>
    <col min="28" max="28" width="29.5703125" customWidth="1"/>
    <col min="29" max="29" width="27" customWidth="1"/>
  </cols>
  <sheetData>
    <row r="1" spans="1:29" s="15" customFormat="1" ht="66.75" customHeight="1" x14ac:dyDescent="0.25">
      <c r="A1" s="87" t="s">
        <v>244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</row>
    <row r="2" spans="1:29" s="15" customFormat="1" ht="95.25" customHeight="1" x14ac:dyDescent="0.25">
      <c r="A2" s="63" t="s">
        <v>0</v>
      </c>
      <c r="B2" s="64" t="s">
        <v>1</v>
      </c>
      <c r="C2" s="64" t="s">
        <v>2</v>
      </c>
      <c r="D2" s="64" t="s">
        <v>3</v>
      </c>
      <c r="E2" s="64" t="s">
        <v>4</v>
      </c>
      <c r="F2" s="64" t="s">
        <v>5</v>
      </c>
      <c r="G2" s="64" t="s">
        <v>49</v>
      </c>
      <c r="H2" s="64" t="s">
        <v>6</v>
      </c>
      <c r="I2" s="64" t="s">
        <v>7</v>
      </c>
      <c r="J2" s="64" t="s">
        <v>38</v>
      </c>
      <c r="K2" s="64" t="s">
        <v>10</v>
      </c>
      <c r="L2" s="64" t="s">
        <v>13</v>
      </c>
      <c r="M2" s="64" t="s">
        <v>8</v>
      </c>
      <c r="N2" s="64" t="s">
        <v>37</v>
      </c>
      <c r="O2" s="64" t="s">
        <v>11</v>
      </c>
      <c r="P2" s="64" t="s">
        <v>12</v>
      </c>
      <c r="Q2" s="64" t="s">
        <v>41</v>
      </c>
      <c r="R2" s="64" t="s">
        <v>42</v>
      </c>
      <c r="S2" s="64" t="s">
        <v>43</v>
      </c>
      <c r="T2" s="64" t="s">
        <v>44</v>
      </c>
      <c r="U2" s="64" t="s">
        <v>47</v>
      </c>
      <c r="V2" s="64" t="s">
        <v>48</v>
      </c>
      <c r="W2" s="64" t="s">
        <v>43</v>
      </c>
      <c r="X2" s="64" t="s">
        <v>44</v>
      </c>
      <c r="Y2" s="64" t="s">
        <v>34</v>
      </c>
      <c r="Z2" s="65" t="s">
        <v>39</v>
      </c>
      <c r="AA2" s="86" t="s">
        <v>240</v>
      </c>
      <c r="AB2" s="86"/>
      <c r="AC2" s="86"/>
    </row>
    <row r="3" spans="1:29" ht="71.25" customHeight="1" x14ac:dyDescent="0.25">
      <c r="A3" s="85" t="s">
        <v>27</v>
      </c>
      <c r="B3" s="10" t="s">
        <v>110</v>
      </c>
      <c r="C3" s="31">
        <v>400201601</v>
      </c>
      <c r="D3" s="58" t="s">
        <v>210</v>
      </c>
      <c r="E3" s="58" t="s">
        <v>149</v>
      </c>
      <c r="F3" s="58" t="s">
        <v>150</v>
      </c>
      <c r="G3" s="31">
        <v>0</v>
      </c>
      <c r="H3" s="31">
        <v>1</v>
      </c>
      <c r="I3" s="48">
        <v>0</v>
      </c>
      <c r="J3" s="48">
        <v>0</v>
      </c>
      <c r="K3" s="23"/>
      <c r="L3" s="23">
        <f t="shared" ref="L3:L4" si="0">IF((J3/H3)&gt;1,1,J3/H3)</f>
        <v>0</v>
      </c>
      <c r="M3" s="34">
        <v>1</v>
      </c>
      <c r="N3" s="84">
        <v>1</v>
      </c>
      <c r="O3" s="25">
        <f t="shared" ref="O3:O4" si="1">IF((N3/M3)&gt;1,1,N3/M3)</f>
        <v>1</v>
      </c>
      <c r="P3" s="25">
        <f t="shared" ref="P3:P4" si="2">IF((N3/H3)&gt;1,1,N3/H3)</f>
        <v>1</v>
      </c>
      <c r="Q3" s="26">
        <v>0</v>
      </c>
      <c r="R3" s="26">
        <v>0</v>
      </c>
      <c r="S3" s="42"/>
      <c r="T3" s="27">
        <f t="shared" ref="T3:T5" si="3">IF((R3/H3)&gt;1,1,R3/H3)</f>
        <v>0</v>
      </c>
      <c r="U3" s="28">
        <v>0</v>
      </c>
      <c r="V3" s="28">
        <v>0</v>
      </c>
      <c r="W3" s="38"/>
      <c r="X3" s="29">
        <f t="shared" ref="X3:X4" si="4">IF((V3/H3)&gt;1,1,V3/H3)</f>
        <v>0</v>
      </c>
      <c r="Y3" s="20">
        <f t="shared" ref="Y3:Y5" si="5">+J3+N3+R3+V3</f>
        <v>1</v>
      </c>
      <c r="Z3" s="35">
        <f t="shared" ref="Z3" si="6">IF((Y3/H3)&gt;1,1,Y3/H3)</f>
        <v>1</v>
      </c>
      <c r="AA3" s="63" t="s">
        <v>15</v>
      </c>
      <c r="AB3" s="64" t="s">
        <v>40</v>
      </c>
      <c r="AC3" s="64" t="s">
        <v>39</v>
      </c>
    </row>
    <row r="4" spans="1:29" ht="52.5" x14ac:dyDescent="0.25">
      <c r="A4" s="85"/>
      <c r="B4" s="10" t="s">
        <v>111</v>
      </c>
      <c r="C4" s="31">
        <v>450200110</v>
      </c>
      <c r="D4" s="58" t="s">
        <v>210</v>
      </c>
      <c r="E4" s="58" t="s">
        <v>149</v>
      </c>
      <c r="F4" s="58" t="s">
        <v>150</v>
      </c>
      <c r="G4" s="31">
        <v>0</v>
      </c>
      <c r="H4" s="31">
        <v>1</v>
      </c>
      <c r="I4" s="32">
        <v>0.25</v>
      </c>
      <c r="J4" s="48">
        <v>0</v>
      </c>
      <c r="K4" s="23">
        <f t="shared" ref="K4" si="7">IF((J4/I4)&gt;1,1,J4/I4)</f>
        <v>0</v>
      </c>
      <c r="L4" s="23">
        <f t="shared" si="0"/>
        <v>0</v>
      </c>
      <c r="M4" s="34">
        <v>0.25</v>
      </c>
      <c r="N4" s="84">
        <v>0.25</v>
      </c>
      <c r="O4" s="25">
        <f t="shared" si="1"/>
        <v>1</v>
      </c>
      <c r="P4" s="25">
        <f t="shared" si="2"/>
        <v>0.25</v>
      </c>
      <c r="Q4" s="26">
        <v>0.25</v>
      </c>
      <c r="R4" s="26">
        <v>0</v>
      </c>
      <c r="S4" s="27">
        <f t="shared" ref="S4" si="8">IF((R4/Q4)&gt;1,1,R4/Q4)</f>
        <v>0</v>
      </c>
      <c r="T4" s="27">
        <f t="shared" si="3"/>
        <v>0</v>
      </c>
      <c r="U4" s="28">
        <v>0.25</v>
      </c>
      <c r="V4" s="28">
        <v>0</v>
      </c>
      <c r="W4" s="29">
        <f t="shared" ref="W4" si="9">IF((V4/U4)&gt;1,1,V4/U4)</f>
        <v>0</v>
      </c>
      <c r="X4" s="29">
        <f t="shared" si="4"/>
        <v>0</v>
      </c>
      <c r="Y4" s="20">
        <f t="shared" si="5"/>
        <v>0.25</v>
      </c>
      <c r="Z4" s="30">
        <f t="shared" ref="Z4:Z13" si="10">IF((Y4/H4)&gt;1,1,Y4/H4)</f>
        <v>0.25</v>
      </c>
      <c r="AA4" s="70" t="s">
        <v>237</v>
      </c>
      <c r="AB4" s="69">
        <v>11</v>
      </c>
      <c r="AC4" s="16">
        <f>Z14</f>
        <v>0.42970265151515147</v>
      </c>
    </row>
    <row r="5" spans="1:29" ht="45" x14ac:dyDescent="0.25">
      <c r="A5" s="85"/>
      <c r="B5" s="10" t="s">
        <v>112</v>
      </c>
      <c r="C5" s="31">
        <v>450200110</v>
      </c>
      <c r="D5" s="58" t="s">
        <v>211</v>
      </c>
      <c r="E5" s="58" t="s">
        <v>149</v>
      </c>
      <c r="F5" s="58" t="s">
        <v>150</v>
      </c>
      <c r="G5" s="31">
        <v>0</v>
      </c>
      <c r="H5" s="31">
        <v>1</v>
      </c>
      <c r="I5" s="32">
        <v>0.25</v>
      </c>
      <c r="J5" s="48">
        <v>0</v>
      </c>
      <c r="K5" s="23">
        <f t="shared" ref="K5:K12" si="11">IF((J5/I5)&gt;1,1,J5/I5)</f>
        <v>0</v>
      </c>
      <c r="L5" s="23">
        <f t="shared" ref="L5:L13" si="12">IF((J5/H5)&gt;1,1,J5/H5)</f>
        <v>0</v>
      </c>
      <c r="M5" s="34">
        <v>0.25</v>
      </c>
      <c r="N5" s="84">
        <v>0.25</v>
      </c>
      <c r="O5" s="25">
        <f t="shared" ref="O5:O13" si="13">IF((N5/M5)&gt;1,1,N5/M5)</f>
        <v>1</v>
      </c>
      <c r="P5" s="25">
        <f t="shared" ref="P5:P13" si="14">IF((N5/H5)&gt;1,1,N5/H5)</f>
        <v>0.25</v>
      </c>
      <c r="Q5" s="26">
        <v>0.25</v>
      </c>
      <c r="R5" s="26">
        <v>0</v>
      </c>
      <c r="S5" s="27">
        <f t="shared" ref="S5:S13" si="15">IF((R5/Q5)&gt;1,1,R5/Q5)</f>
        <v>0</v>
      </c>
      <c r="T5" s="27">
        <f t="shared" si="3"/>
        <v>0</v>
      </c>
      <c r="U5" s="28">
        <v>0.25</v>
      </c>
      <c r="V5" s="28">
        <v>0</v>
      </c>
      <c r="W5" s="29">
        <f t="shared" ref="W5:W13" si="16">IF((V5/U5)&gt;1,1,V5/U5)</f>
        <v>0</v>
      </c>
      <c r="X5" s="29">
        <f t="shared" ref="X5:X13" si="17">IF((V5/H5)&gt;1,1,V5/H5)</f>
        <v>0</v>
      </c>
      <c r="Y5" s="20">
        <f t="shared" si="5"/>
        <v>0.25</v>
      </c>
      <c r="Z5" s="30">
        <f t="shared" si="10"/>
        <v>0.25</v>
      </c>
    </row>
    <row r="6" spans="1:29" ht="45" x14ac:dyDescent="0.25">
      <c r="A6" s="85" t="s">
        <v>28</v>
      </c>
      <c r="B6" s="10" t="s">
        <v>113</v>
      </c>
      <c r="C6" s="31">
        <v>409901101</v>
      </c>
      <c r="D6" s="58" t="s">
        <v>212</v>
      </c>
      <c r="E6" s="79" t="s">
        <v>172</v>
      </c>
      <c r="F6" s="58" t="s">
        <v>150</v>
      </c>
      <c r="G6" s="31">
        <v>0</v>
      </c>
      <c r="H6" s="31">
        <v>2000</v>
      </c>
      <c r="I6" s="32">
        <v>500</v>
      </c>
      <c r="J6" s="48">
        <v>10</v>
      </c>
      <c r="K6" s="23">
        <f t="shared" si="11"/>
        <v>0.02</v>
      </c>
      <c r="L6" s="23">
        <f t="shared" si="12"/>
        <v>5.0000000000000001E-3</v>
      </c>
      <c r="M6" s="34">
        <v>500</v>
      </c>
      <c r="N6" s="84">
        <v>350</v>
      </c>
      <c r="O6" s="25">
        <f t="shared" si="13"/>
        <v>0.7</v>
      </c>
      <c r="P6" s="25">
        <f t="shared" si="14"/>
        <v>0.17499999999999999</v>
      </c>
      <c r="Q6" s="26">
        <v>500</v>
      </c>
      <c r="R6" s="26">
        <v>0</v>
      </c>
      <c r="S6" s="27">
        <f t="shared" si="15"/>
        <v>0</v>
      </c>
      <c r="T6" s="27">
        <f t="shared" ref="T6:T13" si="18">IF((R6/H6)&gt;1,1,R6/H6)</f>
        <v>0</v>
      </c>
      <c r="U6" s="28">
        <v>500</v>
      </c>
      <c r="V6" s="28">
        <v>0</v>
      </c>
      <c r="W6" s="29">
        <f t="shared" si="16"/>
        <v>0</v>
      </c>
      <c r="X6" s="29">
        <f t="shared" si="17"/>
        <v>0</v>
      </c>
      <c r="Y6" s="20">
        <f t="shared" ref="Y6:Y13" si="19">+J6+N6+R6+V6</f>
        <v>360</v>
      </c>
      <c r="Z6" s="30">
        <f t="shared" si="10"/>
        <v>0.18</v>
      </c>
    </row>
    <row r="7" spans="1:29" ht="30" x14ac:dyDescent="0.25">
      <c r="A7" s="85"/>
      <c r="B7" s="10" t="s">
        <v>114</v>
      </c>
      <c r="C7" s="31">
        <v>409901101</v>
      </c>
      <c r="D7" s="58" t="s">
        <v>213</v>
      </c>
      <c r="E7" s="31" t="s">
        <v>172</v>
      </c>
      <c r="F7" s="58" t="s">
        <v>150</v>
      </c>
      <c r="G7" s="31">
        <v>0</v>
      </c>
      <c r="H7" s="31">
        <v>200</v>
      </c>
      <c r="I7" s="32">
        <v>50</v>
      </c>
      <c r="J7" s="48">
        <v>0</v>
      </c>
      <c r="K7" s="23">
        <f t="shared" si="11"/>
        <v>0</v>
      </c>
      <c r="L7" s="23">
        <f t="shared" si="12"/>
        <v>0</v>
      </c>
      <c r="M7" s="34">
        <v>50</v>
      </c>
      <c r="N7" s="84">
        <v>200</v>
      </c>
      <c r="O7" s="25">
        <f t="shared" si="13"/>
        <v>1</v>
      </c>
      <c r="P7" s="25">
        <f t="shared" si="14"/>
        <v>1</v>
      </c>
      <c r="Q7" s="26">
        <v>50</v>
      </c>
      <c r="R7" s="26">
        <v>0</v>
      </c>
      <c r="S7" s="27">
        <f t="shared" si="15"/>
        <v>0</v>
      </c>
      <c r="T7" s="27">
        <f t="shared" si="18"/>
        <v>0</v>
      </c>
      <c r="U7" s="28">
        <v>50</v>
      </c>
      <c r="V7" s="28">
        <v>0</v>
      </c>
      <c r="W7" s="29">
        <f t="shared" si="16"/>
        <v>0</v>
      </c>
      <c r="X7" s="29">
        <f t="shared" si="17"/>
        <v>0</v>
      </c>
      <c r="Y7" s="20">
        <f t="shared" si="19"/>
        <v>200</v>
      </c>
      <c r="Z7" s="35">
        <f t="shared" si="10"/>
        <v>1</v>
      </c>
    </row>
    <row r="8" spans="1:29" ht="30" x14ac:dyDescent="0.25">
      <c r="A8" s="85"/>
      <c r="B8" s="10" t="s">
        <v>115</v>
      </c>
      <c r="C8" s="31">
        <v>210201000</v>
      </c>
      <c r="D8" s="58" t="s">
        <v>214</v>
      </c>
      <c r="E8" s="31" t="s">
        <v>173</v>
      </c>
      <c r="F8" s="58" t="s">
        <v>150</v>
      </c>
      <c r="G8" s="31">
        <v>0</v>
      </c>
      <c r="H8" s="31">
        <v>1000</v>
      </c>
      <c r="I8" s="32">
        <v>250</v>
      </c>
      <c r="J8" s="48">
        <v>50</v>
      </c>
      <c r="K8" s="23">
        <f t="shared" si="11"/>
        <v>0.2</v>
      </c>
      <c r="L8" s="23">
        <f t="shared" si="12"/>
        <v>0.05</v>
      </c>
      <c r="M8" s="34">
        <v>250</v>
      </c>
      <c r="N8" s="84">
        <v>5863</v>
      </c>
      <c r="O8" s="25">
        <f t="shared" si="13"/>
        <v>1</v>
      </c>
      <c r="P8" s="25">
        <f t="shared" si="14"/>
        <v>1</v>
      </c>
      <c r="Q8" s="26">
        <v>250</v>
      </c>
      <c r="R8" s="26">
        <v>0</v>
      </c>
      <c r="S8" s="27">
        <f t="shared" si="15"/>
        <v>0</v>
      </c>
      <c r="T8" s="27">
        <f t="shared" si="18"/>
        <v>0</v>
      </c>
      <c r="U8" s="28">
        <v>250</v>
      </c>
      <c r="V8" s="28">
        <v>0</v>
      </c>
      <c r="W8" s="29">
        <f t="shared" si="16"/>
        <v>0</v>
      </c>
      <c r="X8" s="29">
        <f t="shared" si="17"/>
        <v>0</v>
      </c>
      <c r="Y8" s="20">
        <f t="shared" si="19"/>
        <v>5913</v>
      </c>
      <c r="Z8" s="35">
        <f t="shared" si="10"/>
        <v>1</v>
      </c>
    </row>
    <row r="9" spans="1:29" ht="60" x14ac:dyDescent="0.25">
      <c r="A9" s="85"/>
      <c r="B9" s="10" t="s">
        <v>116</v>
      </c>
      <c r="C9" s="31">
        <v>240212100</v>
      </c>
      <c r="D9" s="62" t="s">
        <v>215</v>
      </c>
      <c r="E9" s="31" t="s">
        <v>173</v>
      </c>
      <c r="F9" s="58" t="s">
        <v>150</v>
      </c>
      <c r="G9" s="31">
        <v>0</v>
      </c>
      <c r="H9" s="31">
        <v>1600</v>
      </c>
      <c r="I9" s="32">
        <v>400</v>
      </c>
      <c r="J9" s="48">
        <v>0</v>
      </c>
      <c r="K9" s="23">
        <f t="shared" si="11"/>
        <v>0</v>
      </c>
      <c r="L9" s="23">
        <f t="shared" si="12"/>
        <v>0</v>
      </c>
      <c r="M9" s="34">
        <v>400</v>
      </c>
      <c r="N9" s="84">
        <v>0.1</v>
      </c>
      <c r="O9" s="25">
        <f t="shared" si="13"/>
        <v>2.5000000000000001E-4</v>
      </c>
      <c r="P9" s="25">
        <f t="shared" si="14"/>
        <v>6.2500000000000001E-5</v>
      </c>
      <c r="Q9" s="26">
        <v>400</v>
      </c>
      <c r="R9" s="26">
        <v>0</v>
      </c>
      <c r="S9" s="27">
        <f t="shared" si="15"/>
        <v>0</v>
      </c>
      <c r="T9" s="27">
        <f t="shared" si="18"/>
        <v>0</v>
      </c>
      <c r="U9" s="28">
        <v>400</v>
      </c>
      <c r="V9" s="28">
        <v>0</v>
      </c>
      <c r="W9" s="29">
        <f t="shared" si="16"/>
        <v>0</v>
      </c>
      <c r="X9" s="29">
        <f t="shared" si="17"/>
        <v>0</v>
      </c>
      <c r="Y9" s="20">
        <f t="shared" si="19"/>
        <v>0.1</v>
      </c>
      <c r="Z9" s="30">
        <f t="shared" si="10"/>
        <v>6.2500000000000001E-5</v>
      </c>
    </row>
    <row r="10" spans="1:29" ht="45" x14ac:dyDescent="0.25">
      <c r="A10" s="85" t="s">
        <v>29</v>
      </c>
      <c r="B10" s="10" t="s">
        <v>117</v>
      </c>
      <c r="C10" s="31">
        <v>400103100</v>
      </c>
      <c r="D10" s="58" t="s">
        <v>216</v>
      </c>
      <c r="E10" s="58" t="s">
        <v>149</v>
      </c>
      <c r="F10" s="58" t="s">
        <v>150</v>
      </c>
      <c r="G10" s="31">
        <v>0</v>
      </c>
      <c r="H10" s="31">
        <v>150</v>
      </c>
      <c r="I10" s="32">
        <v>50</v>
      </c>
      <c r="J10" s="48">
        <v>0</v>
      </c>
      <c r="K10" s="23">
        <f t="shared" si="11"/>
        <v>0</v>
      </c>
      <c r="L10" s="23">
        <f t="shared" si="12"/>
        <v>0</v>
      </c>
      <c r="M10" s="34">
        <v>0</v>
      </c>
      <c r="N10" s="84">
        <v>88</v>
      </c>
      <c r="O10" s="43"/>
      <c r="P10" s="25">
        <f t="shared" si="14"/>
        <v>0.58666666666666667</v>
      </c>
      <c r="Q10" s="26">
        <v>0</v>
      </c>
      <c r="R10" s="26">
        <v>0</v>
      </c>
      <c r="S10" s="42"/>
      <c r="T10" s="27">
        <f t="shared" si="18"/>
        <v>0</v>
      </c>
      <c r="U10" s="28">
        <v>100</v>
      </c>
      <c r="V10" s="28">
        <v>0</v>
      </c>
      <c r="W10" s="29">
        <f t="shared" si="16"/>
        <v>0</v>
      </c>
      <c r="X10" s="29">
        <f t="shared" si="17"/>
        <v>0</v>
      </c>
      <c r="Y10" s="20">
        <f t="shared" si="19"/>
        <v>88</v>
      </c>
      <c r="Z10" s="30">
        <f t="shared" si="10"/>
        <v>0.58666666666666667</v>
      </c>
    </row>
    <row r="11" spans="1:29" ht="45" x14ac:dyDescent="0.25">
      <c r="A11" s="85"/>
      <c r="B11" s="10" t="s">
        <v>118</v>
      </c>
      <c r="C11" s="31">
        <v>400103200</v>
      </c>
      <c r="D11" s="58" t="s">
        <v>217</v>
      </c>
      <c r="E11" s="58" t="s">
        <v>149</v>
      </c>
      <c r="F11" s="58" t="s">
        <v>150</v>
      </c>
      <c r="G11" s="31">
        <v>0</v>
      </c>
      <c r="H11" s="31">
        <v>150</v>
      </c>
      <c r="I11" s="32">
        <v>10</v>
      </c>
      <c r="J11" s="48">
        <v>0</v>
      </c>
      <c r="K11" s="23">
        <f t="shared" si="11"/>
        <v>0</v>
      </c>
      <c r="L11" s="23">
        <f t="shared" si="12"/>
        <v>0</v>
      </c>
      <c r="M11" s="34">
        <v>40</v>
      </c>
      <c r="N11" s="84">
        <v>69</v>
      </c>
      <c r="O11" s="25">
        <f t="shared" si="13"/>
        <v>1</v>
      </c>
      <c r="P11" s="25">
        <f t="shared" si="14"/>
        <v>0.46</v>
      </c>
      <c r="Q11" s="26">
        <v>40</v>
      </c>
      <c r="R11" s="26">
        <v>0</v>
      </c>
      <c r="S11" s="27">
        <f t="shared" si="15"/>
        <v>0</v>
      </c>
      <c r="T11" s="27">
        <f t="shared" si="18"/>
        <v>0</v>
      </c>
      <c r="U11" s="28">
        <v>60</v>
      </c>
      <c r="V11" s="28">
        <v>0</v>
      </c>
      <c r="W11" s="29">
        <f t="shared" si="16"/>
        <v>0</v>
      </c>
      <c r="X11" s="29">
        <f t="shared" si="17"/>
        <v>0</v>
      </c>
      <c r="Y11" s="20">
        <f t="shared" si="19"/>
        <v>69</v>
      </c>
      <c r="Z11" s="30">
        <f t="shared" si="10"/>
        <v>0.46</v>
      </c>
    </row>
    <row r="12" spans="1:29" ht="45" x14ac:dyDescent="0.25">
      <c r="A12" s="85"/>
      <c r="B12" s="10" t="s">
        <v>119</v>
      </c>
      <c r="C12" s="31">
        <v>400103100</v>
      </c>
      <c r="D12" s="58" t="s">
        <v>216</v>
      </c>
      <c r="E12" s="58" t="s">
        <v>149</v>
      </c>
      <c r="F12" s="58" t="s">
        <v>150</v>
      </c>
      <c r="G12" s="31">
        <v>0</v>
      </c>
      <c r="H12" s="31">
        <v>4</v>
      </c>
      <c r="I12" s="32">
        <v>1</v>
      </c>
      <c r="J12" s="48">
        <v>0</v>
      </c>
      <c r="K12" s="23">
        <f t="shared" si="11"/>
        <v>0</v>
      </c>
      <c r="L12" s="23">
        <f t="shared" si="12"/>
        <v>0</v>
      </c>
      <c r="M12" s="34">
        <v>1</v>
      </c>
      <c r="N12" s="84">
        <v>0</v>
      </c>
      <c r="O12" s="25">
        <f t="shared" si="13"/>
        <v>0</v>
      </c>
      <c r="P12" s="25">
        <f t="shared" si="14"/>
        <v>0</v>
      </c>
      <c r="Q12" s="26">
        <v>1</v>
      </c>
      <c r="R12" s="26">
        <v>0</v>
      </c>
      <c r="S12" s="27">
        <f t="shared" si="15"/>
        <v>0</v>
      </c>
      <c r="T12" s="27">
        <f t="shared" si="18"/>
        <v>0</v>
      </c>
      <c r="U12" s="28">
        <v>1</v>
      </c>
      <c r="V12" s="28">
        <v>0</v>
      </c>
      <c r="W12" s="29">
        <f t="shared" si="16"/>
        <v>0</v>
      </c>
      <c r="X12" s="29">
        <f t="shared" si="17"/>
        <v>0</v>
      </c>
      <c r="Y12" s="20">
        <f t="shared" si="19"/>
        <v>0</v>
      </c>
      <c r="Z12" s="30">
        <f t="shared" si="10"/>
        <v>0</v>
      </c>
    </row>
    <row r="13" spans="1:29" ht="45" x14ac:dyDescent="0.25">
      <c r="A13" s="85"/>
      <c r="B13" s="10" t="s">
        <v>120</v>
      </c>
      <c r="C13" s="31">
        <v>400300800</v>
      </c>
      <c r="D13" s="58" t="s">
        <v>218</v>
      </c>
      <c r="E13" s="58" t="s">
        <v>149</v>
      </c>
      <c r="F13" s="58" t="s">
        <v>150</v>
      </c>
      <c r="G13" s="31">
        <v>0</v>
      </c>
      <c r="H13" s="31">
        <v>33</v>
      </c>
      <c r="I13" s="32">
        <v>4</v>
      </c>
      <c r="J13" s="48">
        <v>0</v>
      </c>
      <c r="K13" s="23">
        <f>IF((J13/I13)&gt;1,1,J13/I13)</f>
        <v>0</v>
      </c>
      <c r="L13" s="23">
        <f t="shared" si="12"/>
        <v>0</v>
      </c>
      <c r="M13" s="34">
        <v>9</v>
      </c>
      <c r="N13" s="84">
        <v>0</v>
      </c>
      <c r="O13" s="25">
        <f t="shared" si="13"/>
        <v>0</v>
      </c>
      <c r="P13" s="25">
        <f t="shared" si="14"/>
        <v>0</v>
      </c>
      <c r="Q13" s="26">
        <v>13</v>
      </c>
      <c r="R13" s="26">
        <v>0</v>
      </c>
      <c r="S13" s="27">
        <f t="shared" si="15"/>
        <v>0</v>
      </c>
      <c r="T13" s="27">
        <f t="shared" si="18"/>
        <v>0</v>
      </c>
      <c r="U13" s="28">
        <v>7</v>
      </c>
      <c r="V13" s="28">
        <v>0</v>
      </c>
      <c r="W13" s="29">
        <f t="shared" si="16"/>
        <v>0</v>
      </c>
      <c r="X13" s="29">
        <f t="shared" si="17"/>
        <v>0</v>
      </c>
      <c r="Y13" s="20">
        <f t="shared" si="19"/>
        <v>0</v>
      </c>
      <c r="Z13" s="30">
        <f t="shared" si="10"/>
        <v>0</v>
      </c>
    </row>
    <row r="14" spans="1:29" ht="52.5" x14ac:dyDescent="0.25">
      <c r="J14" s="71" t="s">
        <v>35</v>
      </c>
      <c r="K14" s="78">
        <f>AVERAGE(K3:K13)</f>
        <v>2.1999999999999999E-2</v>
      </c>
      <c r="L14" s="78">
        <f>AVERAGE(L3:L13)</f>
        <v>5.0000000000000001E-3</v>
      </c>
      <c r="M14" s="72"/>
      <c r="N14" s="71" t="s">
        <v>36</v>
      </c>
      <c r="O14" s="75">
        <f>AVERAGE(O3:O13)</f>
        <v>0.67002500000000009</v>
      </c>
      <c r="P14" s="75">
        <f>AVERAGE(P3:P13)</f>
        <v>0.42924810606060598</v>
      </c>
      <c r="Q14" s="73"/>
      <c r="R14" s="63" t="s">
        <v>45</v>
      </c>
      <c r="S14" s="76">
        <f>AVERAGE(S3:S13)</f>
        <v>0</v>
      </c>
      <c r="T14" s="77">
        <f>AVERAGE(T3:T13)</f>
        <v>0</v>
      </c>
      <c r="U14" s="74"/>
      <c r="V14" s="63" t="s">
        <v>45</v>
      </c>
      <c r="W14" s="76">
        <f>AVERAGE(W3:W13)</f>
        <v>0</v>
      </c>
      <c r="X14" s="76">
        <f>AVERAGE(X3:X13)</f>
        <v>0</v>
      </c>
      <c r="Y14" s="71" t="s">
        <v>46</v>
      </c>
      <c r="Z14" s="16">
        <f>AVERAGE(Z3:Z13)</f>
        <v>0.42970265151515147</v>
      </c>
    </row>
    <row r="15" spans="1:29" x14ac:dyDescent="0.25">
      <c r="Z15" s="8"/>
    </row>
    <row r="16" spans="1:29" x14ac:dyDescent="0.25">
      <c r="L16"/>
      <c r="P16"/>
      <c r="Q16"/>
      <c r="R16"/>
      <c r="S16"/>
      <c r="T16"/>
      <c r="U16"/>
      <c r="V16"/>
      <c r="W16"/>
      <c r="X16"/>
    </row>
    <row r="18" spans="12:24" x14ac:dyDescent="0.25">
      <c r="L18" s="1"/>
      <c r="P18" s="9"/>
      <c r="Q18" s="9"/>
      <c r="R18" s="9"/>
      <c r="S18" s="9"/>
      <c r="T18" s="9"/>
      <c r="U18" s="9"/>
      <c r="V18" s="9"/>
      <c r="W18" s="9"/>
      <c r="X18" s="9"/>
    </row>
    <row r="19" spans="12:24" x14ac:dyDescent="0.25">
      <c r="L19" s="1"/>
      <c r="P19" s="9"/>
      <c r="Q19" s="9"/>
      <c r="R19" s="9"/>
      <c r="S19" s="9"/>
      <c r="T19" s="9"/>
      <c r="U19" s="9"/>
      <c r="V19" s="9"/>
      <c r="W19" s="9"/>
      <c r="X19" s="9"/>
    </row>
  </sheetData>
  <mergeCells count="5">
    <mergeCell ref="AA2:AC2"/>
    <mergeCell ref="A1:AC1"/>
    <mergeCell ref="A3:A5"/>
    <mergeCell ref="A6:A9"/>
    <mergeCell ref="A10:A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2F52-B973-4C86-A49F-74A8C660AC22}">
  <dimension ref="A1:AC27"/>
  <sheetViews>
    <sheetView topLeftCell="H11" zoomScale="53" zoomScaleNormal="53" workbookViewId="0">
      <selection activeCell="N21" sqref="N3:N21"/>
    </sheetView>
  </sheetViews>
  <sheetFormatPr baseColWidth="10" defaultColWidth="54.5703125" defaultRowHeight="15" x14ac:dyDescent="0.25"/>
  <cols>
    <col min="1" max="1" width="54.5703125" style="5"/>
    <col min="2" max="2" width="67.140625" style="6" customWidth="1"/>
    <col min="3" max="3" width="26.5703125" customWidth="1"/>
    <col min="4" max="4" width="39.7109375" style="6" customWidth="1"/>
    <col min="5" max="5" width="21.5703125" customWidth="1"/>
    <col min="6" max="6" width="21.42578125" style="7" customWidth="1"/>
    <col min="7" max="7" width="10.85546875" style="7" customWidth="1"/>
    <col min="8" max="8" width="19.85546875" customWidth="1"/>
    <col min="9" max="9" width="15.140625" style="5" customWidth="1"/>
    <col min="10" max="10" width="19.42578125" style="5" customWidth="1"/>
    <col min="11" max="11" width="29.85546875" style="5" customWidth="1"/>
    <col min="12" max="12" width="22.85546875" style="5" customWidth="1"/>
    <col min="13" max="13" width="14.140625" style="5" customWidth="1"/>
    <col min="14" max="14" width="19.42578125" customWidth="1"/>
    <col min="15" max="15" width="29.85546875" style="5" customWidth="1"/>
    <col min="16" max="16" width="20.85546875" style="5" customWidth="1"/>
    <col min="17" max="17" width="13.42578125" style="5" customWidth="1"/>
    <col min="18" max="18" width="19.42578125" style="5" customWidth="1"/>
    <col min="19" max="19" width="27.7109375" style="5" customWidth="1"/>
    <col min="20" max="20" width="21.7109375" style="5" customWidth="1"/>
    <col min="21" max="21" width="12.7109375" style="5" customWidth="1"/>
    <col min="22" max="22" width="19.42578125" style="5" customWidth="1"/>
    <col min="23" max="23" width="29.140625" style="5" customWidth="1"/>
    <col min="24" max="24" width="16.42578125" style="5" customWidth="1"/>
    <col min="25" max="25" width="33.42578125" customWidth="1"/>
    <col min="26" max="26" width="26.42578125" customWidth="1"/>
    <col min="27" max="27" width="80.140625" customWidth="1"/>
    <col min="28" max="28" width="28.28515625" customWidth="1"/>
    <col min="29" max="29" width="27" customWidth="1"/>
  </cols>
  <sheetData>
    <row r="1" spans="1:29" s="15" customFormat="1" ht="66.75" customHeight="1" x14ac:dyDescent="0.25">
      <c r="A1" s="86" t="s">
        <v>245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</row>
    <row r="2" spans="1:29" s="15" customFormat="1" ht="95.25" customHeight="1" x14ac:dyDescent="0.25">
      <c r="A2" s="63" t="s">
        <v>0</v>
      </c>
      <c r="B2" s="64" t="s">
        <v>1</v>
      </c>
      <c r="C2" s="64" t="s">
        <v>2</v>
      </c>
      <c r="D2" s="64" t="s">
        <v>3</v>
      </c>
      <c r="E2" s="64" t="s">
        <v>4</v>
      </c>
      <c r="F2" s="64" t="s">
        <v>5</v>
      </c>
      <c r="G2" s="64" t="s">
        <v>49</v>
      </c>
      <c r="H2" s="64" t="s">
        <v>6</v>
      </c>
      <c r="I2" s="64" t="s">
        <v>7</v>
      </c>
      <c r="J2" s="64" t="s">
        <v>38</v>
      </c>
      <c r="K2" s="64" t="s">
        <v>10</v>
      </c>
      <c r="L2" s="64" t="s">
        <v>13</v>
      </c>
      <c r="M2" s="64" t="s">
        <v>8</v>
      </c>
      <c r="N2" s="64" t="s">
        <v>37</v>
      </c>
      <c r="O2" s="64" t="s">
        <v>11</v>
      </c>
      <c r="P2" s="64" t="s">
        <v>12</v>
      </c>
      <c r="Q2" s="64" t="s">
        <v>41</v>
      </c>
      <c r="R2" s="64" t="s">
        <v>42</v>
      </c>
      <c r="S2" s="64" t="s">
        <v>43</v>
      </c>
      <c r="T2" s="64" t="s">
        <v>44</v>
      </c>
      <c r="U2" s="64" t="s">
        <v>47</v>
      </c>
      <c r="V2" s="64" t="s">
        <v>48</v>
      </c>
      <c r="W2" s="64" t="s">
        <v>43</v>
      </c>
      <c r="X2" s="64" t="s">
        <v>44</v>
      </c>
      <c r="Y2" s="64" t="s">
        <v>34</v>
      </c>
      <c r="Z2" s="65" t="s">
        <v>39</v>
      </c>
      <c r="AA2" s="86" t="s">
        <v>240</v>
      </c>
      <c r="AB2" s="86"/>
      <c r="AC2" s="86"/>
    </row>
    <row r="3" spans="1:29" ht="52.5" x14ac:dyDescent="0.25">
      <c r="A3" s="85" t="s">
        <v>14</v>
      </c>
      <c r="B3" s="10" t="s">
        <v>121</v>
      </c>
      <c r="C3" s="2">
        <v>400300800</v>
      </c>
      <c r="D3" s="58" t="s">
        <v>219</v>
      </c>
      <c r="E3" s="58" t="s">
        <v>149</v>
      </c>
      <c r="F3" s="58" t="s">
        <v>150</v>
      </c>
      <c r="G3" s="31">
        <v>0</v>
      </c>
      <c r="H3" s="31">
        <v>2</v>
      </c>
      <c r="I3" s="32">
        <v>0.5</v>
      </c>
      <c r="J3" s="36">
        <v>0.5</v>
      </c>
      <c r="K3" s="23">
        <f t="shared" ref="K3:K21" si="0">IF((J3/I3)&gt;1,1,J3/I3)</f>
        <v>1</v>
      </c>
      <c r="L3" s="23">
        <f t="shared" ref="L3:L21" si="1">IF((J3/H3)&gt;1,1,J3/H3)</f>
        <v>0.25</v>
      </c>
      <c r="M3" s="34">
        <v>0.5</v>
      </c>
      <c r="N3" s="84">
        <v>1.5</v>
      </c>
      <c r="O3" s="25">
        <f t="shared" ref="O3:O20" si="2">IF((N3/M3)&gt;1,1,N3/M3)</f>
        <v>1</v>
      </c>
      <c r="P3" s="25">
        <f>IF((N3/H3)&gt;1,1,N3/H3)</f>
        <v>0.75</v>
      </c>
      <c r="Q3" s="26">
        <v>0.5</v>
      </c>
      <c r="R3" s="26">
        <v>0</v>
      </c>
      <c r="S3" s="27">
        <f t="shared" ref="S3:S20" si="3">IF((R3/Q3)&gt;1,1,R3/Q3)</f>
        <v>0</v>
      </c>
      <c r="T3" s="27">
        <f t="shared" ref="T3:T20" si="4">IF((R3/H3)&gt;1,1,R3/H3)</f>
        <v>0</v>
      </c>
      <c r="U3" s="28">
        <v>0.5</v>
      </c>
      <c r="V3" s="28">
        <v>0</v>
      </c>
      <c r="W3" s="29">
        <f t="shared" ref="W3:W20" si="5">IF((V3/U3)&gt;1,1,V3/U3)</f>
        <v>0</v>
      </c>
      <c r="X3" s="29">
        <f t="shared" ref="X3:X20" si="6">IF((V3/H3)&gt;1,1,V3/H3)</f>
        <v>0</v>
      </c>
      <c r="Y3" s="20">
        <f t="shared" ref="Y3:Y18" si="7">+J3+N3+R3+V3</f>
        <v>2</v>
      </c>
      <c r="Z3" s="35">
        <f t="shared" ref="Z3:Z20" si="8">IF((Y3/H3)&gt;1,1,Y3/H3)</f>
        <v>1</v>
      </c>
      <c r="AA3" s="63" t="s">
        <v>15</v>
      </c>
      <c r="AB3" s="64" t="s">
        <v>40</v>
      </c>
      <c r="AC3" s="64" t="s">
        <v>39</v>
      </c>
    </row>
    <row r="4" spans="1:29" ht="105" x14ac:dyDescent="0.25">
      <c r="A4" s="85"/>
      <c r="B4" s="10" t="s">
        <v>122</v>
      </c>
      <c r="C4" s="2">
        <v>400300800</v>
      </c>
      <c r="D4" s="58" t="s">
        <v>219</v>
      </c>
      <c r="E4" s="58" t="s">
        <v>149</v>
      </c>
      <c r="F4" s="58" t="s">
        <v>150</v>
      </c>
      <c r="G4" s="31">
        <v>0</v>
      </c>
      <c r="H4" s="31">
        <v>1</v>
      </c>
      <c r="I4" s="32">
        <v>0</v>
      </c>
      <c r="J4" s="32">
        <v>1</v>
      </c>
      <c r="K4" s="37"/>
      <c r="L4" s="23">
        <f t="shared" si="1"/>
        <v>1</v>
      </c>
      <c r="M4" s="34">
        <v>0</v>
      </c>
      <c r="N4" s="84">
        <v>2</v>
      </c>
      <c r="O4" s="43"/>
      <c r="P4" s="25">
        <f t="shared" ref="P4:P20" si="9">IF((N4/H4)&gt;1,1,N4/H4)</f>
        <v>1</v>
      </c>
      <c r="Q4" s="26">
        <v>0</v>
      </c>
      <c r="R4" s="26">
        <v>0</v>
      </c>
      <c r="S4" s="42"/>
      <c r="T4" s="27">
        <f t="shared" si="4"/>
        <v>0</v>
      </c>
      <c r="U4" s="28">
        <v>1</v>
      </c>
      <c r="V4" s="28">
        <v>0</v>
      </c>
      <c r="W4" s="29">
        <f t="shared" si="5"/>
        <v>0</v>
      </c>
      <c r="X4" s="29">
        <f t="shared" si="6"/>
        <v>0</v>
      </c>
      <c r="Y4" s="20">
        <f t="shared" si="7"/>
        <v>3</v>
      </c>
      <c r="Z4" s="35">
        <f>IF((Y4/H4)&gt;1,1,Y4/H4)</f>
        <v>1</v>
      </c>
      <c r="AA4" s="70" t="s">
        <v>246</v>
      </c>
      <c r="AB4" s="69">
        <v>19</v>
      </c>
      <c r="AC4" s="16">
        <f>Z22</f>
        <v>0.64163234172387495</v>
      </c>
    </row>
    <row r="5" spans="1:29" ht="60" x14ac:dyDescent="0.25">
      <c r="A5" s="85"/>
      <c r="B5" s="10" t="s">
        <v>123</v>
      </c>
      <c r="C5" s="2">
        <v>320305000</v>
      </c>
      <c r="D5" s="62" t="s">
        <v>220</v>
      </c>
      <c r="E5" s="2" t="s">
        <v>174</v>
      </c>
      <c r="F5" s="58" t="s">
        <v>150</v>
      </c>
      <c r="G5" s="31">
        <v>0</v>
      </c>
      <c r="H5" s="31">
        <v>4</v>
      </c>
      <c r="I5" s="32">
        <v>0</v>
      </c>
      <c r="J5" s="32">
        <v>0</v>
      </c>
      <c r="K5" s="37"/>
      <c r="L5" s="23">
        <f t="shared" si="1"/>
        <v>0</v>
      </c>
      <c r="M5" s="34">
        <v>2</v>
      </c>
      <c r="N5" s="84">
        <v>0</v>
      </c>
      <c r="O5" s="25">
        <f t="shared" si="2"/>
        <v>0</v>
      </c>
      <c r="P5" s="25">
        <f t="shared" si="9"/>
        <v>0</v>
      </c>
      <c r="Q5" s="26">
        <v>2</v>
      </c>
      <c r="R5" s="26">
        <v>0</v>
      </c>
      <c r="S5" s="27">
        <f t="shared" si="3"/>
        <v>0</v>
      </c>
      <c r="T5" s="27">
        <f t="shared" si="4"/>
        <v>0</v>
      </c>
      <c r="U5" s="28">
        <v>0</v>
      </c>
      <c r="V5" s="28">
        <v>0</v>
      </c>
      <c r="W5" s="38"/>
      <c r="X5" s="29">
        <f t="shared" si="6"/>
        <v>0</v>
      </c>
      <c r="Y5" s="20">
        <f t="shared" si="7"/>
        <v>0</v>
      </c>
      <c r="Z5" s="30">
        <f>IF((Y5/H5)&gt;1,1,Y5/H5)</f>
        <v>0</v>
      </c>
    </row>
    <row r="6" spans="1:29" ht="45" x14ac:dyDescent="0.25">
      <c r="A6" s="85"/>
      <c r="B6" s="10" t="s">
        <v>124</v>
      </c>
      <c r="C6" s="2">
        <v>400301200</v>
      </c>
      <c r="D6" s="58" t="s">
        <v>221</v>
      </c>
      <c r="E6" s="58" t="s">
        <v>149</v>
      </c>
      <c r="F6" s="58" t="s">
        <v>150</v>
      </c>
      <c r="G6" s="31">
        <v>0</v>
      </c>
      <c r="H6" s="31">
        <v>1</v>
      </c>
      <c r="I6" s="32">
        <v>0.25</v>
      </c>
      <c r="J6" s="32">
        <v>0</v>
      </c>
      <c r="K6" s="23">
        <f t="shared" si="0"/>
        <v>0</v>
      </c>
      <c r="L6" s="23">
        <f t="shared" si="1"/>
        <v>0</v>
      </c>
      <c r="M6" s="34">
        <v>0.25</v>
      </c>
      <c r="N6" s="84">
        <v>0.1</v>
      </c>
      <c r="O6" s="25">
        <f t="shared" si="2"/>
        <v>0.4</v>
      </c>
      <c r="P6" s="25">
        <f t="shared" si="9"/>
        <v>0.1</v>
      </c>
      <c r="Q6" s="26">
        <v>0.25</v>
      </c>
      <c r="R6" s="26">
        <v>0</v>
      </c>
      <c r="S6" s="27">
        <f t="shared" si="3"/>
        <v>0</v>
      </c>
      <c r="T6" s="27">
        <f t="shared" si="4"/>
        <v>0</v>
      </c>
      <c r="U6" s="28">
        <v>0.25</v>
      </c>
      <c r="V6" s="28">
        <v>0</v>
      </c>
      <c r="W6" s="29">
        <f t="shared" si="5"/>
        <v>0</v>
      </c>
      <c r="X6" s="29">
        <f t="shared" si="6"/>
        <v>0</v>
      </c>
      <c r="Y6" s="20">
        <f t="shared" si="7"/>
        <v>0.1</v>
      </c>
      <c r="Z6" s="30">
        <f t="shared" si="8"/>
        <v>0.1</v>
      </c>
    </row>
    <row r="7" spans="1:29" ht="45" x14ac:dyDescent="0.25">
      <c r="A7" s="85"/>
      <c r="B7" s="10" t="s">
        <v>125</v>
      </c>
      <c r="C7" s="2">
        <v>400301200</v>
      </c>
      <c r="D7" s="58" t="s">
        <v>221</v>
      </c>
      <c r="E7" s="58" t="s">
        <v>149</v>
      </c>
      <c r="F7" s="58" t="s">
        <v>150</v>
      </c>
      <c r="G7" s="31">
        <v>0</v>
      </c>
      <c r="H7" s="31">
        <v>1</v>
      </c>
      <c r="I7" s="32">
        <v>0.25</v>
      </c>
      <c r="J7" s="32">
        <v>0.25</v>
      </c>
      <c r="K7" s="23">
        <f t="shared" si="0"/>
        <v>1</v>
      </c>
      <c r="L7" s="23">
        <f t="shared" si="1"/>
        <v>0.25</v>
      </c>
      <c r="M7" s="34">
        <v>0.25</v>
      </c>
      <c r="N7" s="84">
        <v>0.25</v>
      </c>
      <c r="O7" s="25">
        <f t="shared" si="2"/>
        <v>1</v>
      </c>
      <c r="P7" s="25">
        <f t="shared" si="9"/>
        <v>0.25</v>
      </c>
      <c r="Q7" s="26">
        <v>0.25</v>
      </c>
      <c r="R7" s="26">
        <v>0</v>
      </c>
      <c r="S7" s="27">
        <f t="shared" si="3"/>
        <v>0</v>
      </c>
      <c r="T7" s="27">
        <f t="shared" si="4"/>
        <v>0</v>
      </c>
      <c r="U7" s="28">
        <v>0.25</v>
      </c>
      <c r="V7" s="28">
        <v>0</v>
      </c>
      <c r="W7" s="29">
        <f t="shared" si="5"/>
        <v>0</v>
      </c>
      <c r="X7" s="29">
        <f t="shared" si="6"/>
        <v>0</v>
      </c>
      <c r="Y7" s="20">
        <f t="shared" si="7"/>
        <v>0.5</v>
      </c>
      <c r="Z7" s="30">
        <f t="shared" si="8"/>
        <v>0.5</v>
      </c>
    </row>
    <row r="8" spans="1:29" ht="45" x14ac:dyDescent="0.25">
      <c r="A8" s="85"/>
      <c r="B8" s="10" t="s">
        <v>126</v>
      </c>
      <c r="C8" s="2">
        <v>400305201</v>
      </c>
      <c r="D8" s="58" t="s">
        <v>222</v>
      </c>
      <c r="E8" s="58" t="s">
        <v>149</v>
      </c>
      <c r="F8" s="51" t="s">
        <v>171</v>
      </c>
      <c r="G8" s="31">
        <v>6</v>
      </c>
      <c r="H8" s="31">
        <v>6</v>
      </c>
      <c r="I8" s="32">
        <v>6</v>
      </c>
      <c r="J8" s="32">
        <v>6</v>
      </c>
      <c r="K8" s="23">
        <f t="shared" si="0"/>
        <v>1</v>
      </c>
      <c r="L8" s="23">
        <f t="shared" si="1"/>
        <v>1</v>
      </c>
      <c r="M8" s="34">
        <v>6</v>
      </c>
      <c r="N8" s="84">
        <v>6</v>
      </c>
      <c r="O8" s="25">
        <f t="shared" si="2"/>
        <v>1</v>
      </c>
      <c r="P8" s="25">
        <f t="shared" si="9"/>
        <v>1</v>
      </c>
      <c r="Q8" s="26">
        <v>6</v>
      </c>
      <c r="R8" s="26">
        <v>0</v>
      </c>
      <c r="S8" s="27">
        <f t="shared" si="3"/>
        <v>0</v>
      </c>
      <c r="T8" s="27">
        <f t="shared" si="4"/>
        <v>0</v>
      </c>
      <c r="U8" s="28">
        <v>6</v>
      </c>
      <c r="V8" s="28">
        <v>0</v>
      </c>
      <c r="W8" s="29">
        <f t="shared" si="5"/>
        <v>0</v>
      </c>
      <c r="X8" s="29">
        <f t="shared" si="6"/>
        <v>0</v>
      </c>
      <c r="Y8" s="20">
        <f>+N8</f>
        <v>6</v>
      </c>
      <c r="Z8" s="35">
        <f t="shared" si="8"/>
        <v>1</v>
      </c>
    </row>
    <row r="9" spans="1:29" ht="45" x14ac:dyDescent="0.25">
      <c r="A9" s="85"/>
      <c r="B9" s="10" t="s">
        <v>127</v>
      </c>
      <c r="C9" s="2">
        <v>400301503</v>
      </c>
      <c r="D9" s="58" t="s">
        <v>223</v>
      </c>
      <c r="E9" s="58" t="s">
        <v>149</v>
      </c>
      <c r="F9" s="58" t="s">
        <v>150</v>
      </c>
      <c r="G9" s="31">
        <v>0</v>
      </c>
      <c r="H9" s="31">
        <v>1</v>
      </c>
      <c r="I9" s="32">
        <v>0</v>
      </c>
      <c r="J9" s="32">
        <v>0</v>
      </c>
      <c r="K9" s="37"/>
      <c r="L9" s="23">
        <f t="shared" si="1"/>
        <v>0</v>
      </c>
      <c r="M9" s="34">
        <v>0</v>
      </c>
      <c r="N9" s="84">
        <v>0.1</v>
      </c>
      <c r="O9" s="43"/>
      <c r="P9" s="25"/>
      <c r="Q9" s="26">
        <v>0.5</v>
      </c>
      <c r="R9" s="26">
        <v>0</v>
      </c>
      <c r="S9" s="27">
        <f t="shared" si="3"/>
        <v>0</v>
      </c>
      <c r="T9" s="27">
        <f t="shared" si="4"/>
        <v>0</v>
      </c>
      <c r="U9" s="28">
        <v>0.5</v>
      </c>
      <c r="V9" s="28">
        <v>0</v>
      </c>
      <c r="W9" s="29">
        <f t="shared" si="5"/>
        <v>0</v>
      </c>
      <c r="X9" s="29">
        <f t="shared" si="6"/>
        <v>0</v>
      </c>
      <c r="Y9" s="20">
        <f t="shared" si="7"/>
        <v>0.1</v>
      </c>
      <c r="Z9" s="30">
        <f t="shared" si="8"/>
        <v>0.1</v>
      </c>
    </row>
    <row r="10" spans="1:29" ht="45" x14ac:dyDescent="0.25">
      <c r="A10" s="85"/>
      <c r="B10" s="10" t="s">
        <v>128</v>
      </c>
      <c r="C10" s="2">
        <v>400300801</v>
      </c>
      <c r="D10" s="58" t="s">
        <v>224</v>
      </c>
      <c r="E10" s="58" t="s">
        <v>149</v>
      </c>
      <c r="F10" s="58" t="s">
        <v>150</v>
      </c>
      <c r="G10" s="31">
        <v>0</v>
      </c>
      <c r="H10" s="31">
        <v>1</v>
      </c>
      <c r="I10" s="32">
        <v>0</v>
      </c>
      <c r="J10" s="32">
        <v>0</v>
      </c>
      <c r="K10" s="37"/>
      <c r="L10" s="23">
        <f t="shared" si="1"/>
        <v>0</v>
      </c>
      <c r="M10" s="34">
        <v>0</v>
      </c>
      <c r="N10" s="84">
        <v>1</v>
      </c>
      <c r="O10" s="43"/>
      <c r="P10" s="25">
        <f t="shared" si="9"/>
        <v>1</v>
      </c>
      <c r="Q10" s="26">
        <v>0</v>
      </c>
      <c r="R10" s="26">
        <v>0</v>
      </c>
      <c r="S10" s="42"/>
      <c r="T10" s="27">
        <f t="shared" si="4"/>
        <v>0</v>
      </c>
      <c r="U10" s="28">
        <v>1</v>
      </c>
      <c r="V10" s="28">
        <v>0</v>
      </c>
      <c r="W10" s="29">
        <f t="shared" si="5"/>
        <v>0</v>
      </c>
      <c r="X10" s="29">
        <f t="shared" si="6"/>
        <v>0</v>
      </c>
      <c r="Y10" s="20">
        <f t="shared" si="7"/>
        <v>1</v>
      </c>
      <c r="Z10" s="35">
        <f t="shared" si="8"/>
        <v>1</v>
      </c>
    </row>
    <row r="11" spans="1:29" ht="45" x14ac:dyDescent="0.25">
      <c r="A11" s="85" t="s">
        <v>30</v>
      </c>
      <c r="B11" s="10" t="s">
        <v>129</v>
      </c>
      <c r="C11" s="31">
        <v>320305000</v>
      </c>
      <c r="D11" s="62" t="s">
        <v>220</v>
      </c>
      <c r="E11" s="31" t="s">
        <v>174</v>
      </c>
      <c r="F11" s="58" t="s">
        <v>150</v>
      </c>
      <c r="G11" s="31">
        <v>180</v>
      </c>
      <c r="H11" s="31">
        <v>184</v>
      </c>
      <c r="I11" s="32">
        <v>0</v>
      </c>
      <c r="J11" s="32">
        <v>3</v>
      </c>
      <c r="K11" s="37"/>
      <c r="L11" s="23">
        <f t="shared" si="1"/>
        <v>1.6304347826086956E-2</v>
      </c>
      <c r="M11" s="34">
        <v>1</v>
      </c>
      <c r="N11" s="84">
        <v>50.7</v>
      </c>
      <c r="O11" s="25">
        <f t="shared" si="2"/>
        <v>1</v>
      </c>
      <c r="P11" s="25">
        <f t="shared" si="9"/>
        <v>0.27554347826086956</v>
      </c>
      <c r="Q11" s="26">
        <v>1.5</v>
      </c>
      <c r="R11" s="26">
        <v>0</v>
      </c>
      <c r="S11" s="27">
        <f t="shared" si="3"/>
        <v>0</v>
      </c>
      <c r="T11" s="27">
        <f t="shared" si="4"/>
        <v>0</v>
      </c>
      <c r="U11" s="28">
        <v>1.5</v>
      </c>
      <c r="V11" s="28">
        <v>0</v>
      </c>
      <c r="W11" s="29">
        <f t="shared" si="5"/>
        <v>0</v>
      </c>
      <c r="X11" s="29">
        <f t="shared" si="6"/>
        <v>0</v>
      </c>
      <c r="Y11" s="20">
        <f t="shared" si="7"/>
        <v>53.7</v>
      </c>
      <c r="Z11" s="30">
        <f t="shared" si="8"/>
        <v>0.29184782608695653</v>
      </c>
    </row>
    <row r="12" spans="1:29" ht="45" x14ac:dyDescent="0.25">
      <c r="A12" s="85"/>
      <c r="B12" s="10" t="s">
        <v>130</v>
      </c>
      <c r="C12" s="31">
        <v>400201600</v>
      </c>
      <c r="D12" s="58" t="s">
        <v>167</v>
      </c>
      <c r="E12" s="58" t="s">
        <v>149</v>
      </c>
      <c r="F12" s="58" t="s">
        <v>150</v>
      </c>
      <c r="G12" s="31">
        <v>0</v>
      </c>
      <c r="H12" s="31">
        <v>1</v>
      </c>
      <c r="I12" s="32">
        <v>0.25</v>
      </c>
      <c r="J12" s="32">
        <v>0</v>
      </c>
      <c r="K12" s="23">
        <f t="shared" si="0"/>
        <v>0</v>
      </c>
      <c r="L12" s="23">
        <f t="shared" si="1"/>
        <v>0</v>
      </c>
      <c r="M12" s="34">
        <v>0.25</v>
      </c>
      <c r="N12" s="84">
        <v>0.5</v>
      </c>
      <c r="O12" s="25">
        <f t="shared" si="2"/>
        <v>1</v>
      </c>
      <c r="P12" s="25">
        <f t="shared" si="9"/>
        <v>0.5</v>
      </c>
      <c r="Q12" s="26">
        <v>0.25</v>
      </c>
      <c r="R12" s="26">
        <v>0</v>
      </c>
      <c r="S12" s="27">
        <f t="shared" si="3"/>
        <v>0</v>
      </c>
      <c r="T12" s="27">
        <f t="shared" si="4"/>
        <v>0</v>
      </c>
      <c r="U12" s="28">
        <v>0.25</v>
      </c>
      <c r="V12" s="28">
        <v>0</v>
      </c>
      <c r="W12" s="29">
        <f t="shared" si="5"/>
        <v>0</v>
      </c>
      <c r="X12" s="29">
        <f t="shared" si="6"/>
        <v>0</v>
      </c>
      <c r="Y12" s="20">
        <f t="shared" si="7"/>
        <v>0.5</v>
      </c>
      <c r="Z12" s="35">
        <f t="shared" si="8"/>
        <v>0.5</v>
      </c>
    </row>
    <row r="13" spans="1:29" ht="45" x14ac:dyDescent="0.25">
      <c r="A13" s="85"/>
      <c r="B13" s="10" t="s">
        <v>131</v>
      </c>
      <c r="C13" s="31">
        <v>400300602</v>
      </c>
      <c r="D13" s="58" t="s">
        <v>225</v>
      </c>
      <c r="E13" s="58" t="s">
        <v>149</v>
      </c>
      <c r="F13" s="58" t="s">
        <v>150</v>
      </c>
      <c r="G13" s="31">
        <v>0</v>
      </c>
      <c r="H13" s="31">
        <v>1</v>
      </c>
      <c r="I13" s="32">
        <v>1</v>
      </c>
      <c r="J13" s="32">
        <v>0</v>
      </c>
      <c r="K13" s="23">
        <f t="shared" si="0"/>
        <v>0</v>
      </c>
      <c r="L13" s="23">
        <f t="shared" si="1"/>
        <v>0</v>
      </c>
      <c r="M13" s="34">
        <v>0</v>
      </c>
      <c r="N13" s="84">
        <v>1</v>
      </c>
      <c r="O13" s="43"/>
      <c r="P13" s="25">
        <f t="shared" si="9"/>
        <v>1</v>
      </c>
      <c r="Q13" s="26">
        <v>0</v>
      </c>
      <c r="R13" s="26">
        <v>0</v>
      </c>
      <c r="S13" s="42"/>
      <c r="T13" s="27">
        <f t="shared" si="4"/>
        <v>0</v>
      </c>
      <c r="U13" s="28">
        <v>0</v>
      </c>
      <c r="V13" s="28">
        <v>0</v>
      </c>
      <c r="W13" s="38"/>
      <c r="X13" s="29">
        <f t="shared" si="6"/>
        <v>0</v>
      </c>
      <c r="Y13" s="20">
        <f t="shared" si="7"/>
        <v>1</v>
      </c>
      <c r="Z13" s="35">
        <f t="shared" si="8"/>
        <v>1</v>
      </c>
    </row>
    <row r="14" spans="1:29" ht="47.25" x14ac:dyDescent="0.25">
      <c r="A14" s="85"/>
      <c r="B14" s="10" t="s">
        <v>132</v>
      </c>
      <c r="C14" s="31">
        <v>320402500</v>
      </c>
      <c r="D14" s="58" t="s">
        <v>226</v>
      </c>
      <c r="E14" s="58" t="s">
        <v>149</v>
      </c>
      <c r="F14" s="58" t="s">
        <v>150</v>
      </c>
      <c r="G14" s="31">
        <v>0</v>
      </c>
      <c r="H14" s="31">
        <v>4000</v>
      </c>
      <c r="I14" s="32">
        <v>1000</v>
      </c>
      <c r="J14" s="32">
        <v>50</v>
      </c>
      <c r="K14" s="23">
        <f t="shared" si="0"/>
        <v>0.05</v>
      </c>
      <c r="L14" s="23">
        <f t="shared" si="1"/>
        <v>1.2500000000000001E-2</v>
      </c>
      <c r="M14" s="34">
        <v>1000</v>
      </c>
      <c r="N14" s="84">
        <v>1080</v>
      </c>
      <c r="O14" s="25">
        <f t="shared" si="2"/>
        <v>1</v>
      </c>
      <c r="P14" s="25">
        <f t="shared" si="9"/>
        <v>0.27</v>
      </c>
      <c r="Q14" s="26">
        <v>1000</v>
      </c>
      <c r="R14" s="26">
        <v>0</v>
      </c>
      <c r="S14" s="27">
        <f t="shared" si="3"/>
        <v>0</v>
      </c>
      <c r="T14" s="27">
        <f t="shared" si="4"/>
        <v>0</v>
      </c>
      <c r="U14" s="28">
        <v>1000</v>
      </c>
      <c r="V14" s="28">
        <v>0</v>
      </c>
      <c r="W14" s="29">
        <f t="shared" si="5"/>
        <v>0</v>
      </c>
      <c r="X14" s="29">
        <f t="shared" si="6"/>
        <v>0</v>
      </c>
      <c r="Y14" s="20">
        <f t="shared" si="7"/>
        <v>1130</v>
      </c>
      <c r="Z14" s="30">
        <f t="shared" si="8"/>
        <v>0.28249999999999997</v>
      </c>
    </row>
    <row r="15" spans="1:29" ht="63" x14ac:dyDescent="0.25">
      <c r="A15" s="85" t="s">
        <v>31</v>
      </c>
      <c r="B15" s="10" t="s">
        <v>133</v>
      </c>
      <c r="C15" s="31">
        <v>400300800</v>
      </c>
      <c r="D15" s="58" t="s">
        <v>227</v>
      </c>
      <c r="E15" s="58" t="s">
        <v>149</v>
      </c>
      <c r="F15" s="58" t="s">
        <v>150</v>
      </c>
      <c r="G15" s="31">
        <v>0</v>
      </c>
      <c r="H15" s="31">
        <v>1</v>
      </c>
      <c r="I15" s="32">
        <v>0.25</v>
      </c>
      <c r="J15" s="32">
        <v>0</v>
      </c>
      <c r="K15" s="23">
        <f t="shared" si="0"/>
        <v>0</v>
      </c>
      <c r="L15" s="23">
        <f t="shared" si="1"/>
        <v>0</v>
      </c>
      <c r="M15" s="34">
        <v>0.25</v>
      </c>
      <c r="N15" s="84">
        <v>0.25</v>
      </c>
      <c r="O15" s="25">
        <f t="shared" si="2"/>
        <v>1</v>
      </c>
      <c r="P15" s="25">
        <f t="shared" si="9"/>
        <v>0.25</v>
      </c>
      <c r="Q15" s="26">
        <v>0.25</v>
      </c>
      <c r="R15" s="26">
        <v>0</v>
      </c>
      <c r="S15" s="27">
        <f t="shared" si="3"/>
        <v>0</v>
      </c>
      <c r="T15" s="27">
        <f t="shared" si="4"/>
        <v>0</v>
      </c>
      <c r="U15" s="28">
        <v>0.25</v>
      </c>
      <c r="V15" s="28">
        <v>0</v>
      </c>
      <c r="W15" s="29">
        <f t="shared" si="5"/>
        <v>0</v>
      </c>
      <c r="X15" s="29">
        <f t="shared" si="6"/>
        <v>0</v>
      </c>
      <c r="Y15" s="20">
        <f t="shared" si="7"/>
        <v>0.25</v>
      </c>
      <c r="Z15" s="30">
        <f t="shared" si="8"/>
        <v>0.25</v>
      </c>
    </row>
    <row r="16" spans="1:29" ht="47.25" x14ac:dyDescent="0.25">
      <c r="A16" s="85"/>
      <c r="B16" s="10" t="s">
        <v>134</v>
      </c>
      <c r="C16" s="31">
        <v>400300800</v>
      </c>
      <c r="D16" s="58" t="s">
        <v>228</v>
      </c>
      <c r="E16" s="58" t="s">
        <v>149</v>
      </c>
      <c r="F16" s="58" t="s">
        <v>150</v>
      </c>
      <c r="G16" s="31">
        <v>0</v>
      </c>
      <c r="H16" s="31">
        <v>3</v>
      </c>
      <c r="I16" s="32">
        <v>0</v>
      </c>
      <c r="J16" s="32">
        <v>1</v>
      </c>
      <c r="K16" s="37"/>
      <c r="L16" s="23">
        <f t="shared" si="1"/>
        <v>0.33333333333333331</v>
      </c>
      <c r="M16" s="34">
        <v>1</v>
      </c>
      <c r="N16" s="84">
        <v>1</v>
      </c>
      <c r="O16" s="25">
        <f t="shared" si="2"/>
        <v>1</v>
      </c>
      <c r="P16" s="25">
        <f t="shared" si="9"/>
        <v>0.33333333333333331</v>
      </c>
      <c r="Q16" s="26">
        <v>1</v>
      </c>
      <c r="R16" s="26">
        <v>0</v>
      </c>
      <c r="S16" s="27">
        <f t="shared" si="3"/>
        <v>0</v>
      </c>
      <c r="T16" s="27">
        <f t="shared" si="4"/>
        <v>0</v>
      </c>
      <c r="U16" s="28">
        <v>1</v>
      </c>
      <c r="V16" s="28">
        <v>0</v>
      </c>
      <c r="W16" s="29">
        <f t="shared" si="5"/>
        <v>0</v>
      </c>
      <c r="X16" s="29">
        <f t="shared" si="6"/>
        <v>0</v>
      </c>
      <c r="Y16" s="20">
        <f t="shared" si="7"/>
        <v>2</v>
      </c>
      <c r="Z16" s="30">
        <f t="shared" si="8"/>
        <v>0.66666666666666663</v>
      </c>
    </row>
    <row r="17" spans="1:28" ht="47.25" x14ac:dyDescent="0.25">
      <c r="A17" s="85"/>
      <c r="B17" s="10" t="s">
        <v>135</v>
      </c>
      <c r="C17" s="31">
        <v>320305000</v>
      </c>
      <c r="D17" s="58" t="s">
        <v>229</v>
      </c>
      <c r="E17" s="58" t="s">
        <v>149</v>
      </c>
      <c r="F17" s="58" t="s">
        <v>150</v>
      </c>
      <c r="G17" s="31">
        <v>0</v>
      </c>
      <c r="H17" s="31">
        <v>4</v>
      </c>
      <c r="I17" s="32">
        <v>1</v>
      </c>
      <c r="J17" s="32">
        <v>1</v>
      </c>
      <c r="K17" s="23">
        <f t="shared" si="0"/>
        <v>1</v>
      </c>
      <c r="L17" s="23">
        <f>IF((J17/H17)&gt;1,1,J17/H17)</f>
        <v>0.25</v>
      </c>
      <c r="M17" s="34">
        <v>1</v>
      </c>
      <c r="N17" s="84">
        <v>1</v>
      </c>
      <c r="O17" s="25">
        <f t="shared" si="2"/>
        <v>1</v>
      </c>
      <c r="P17" s="25">
        <f>IF((N17/H17)&gt;1,1,N17/H17)</f>
        <v>0.25</v>
      </c>
      <c r="Q17" s="26">
        <v>1</v>
      </c>
      <c r="R17" s="26">
        <v>0</v>
      </c>
      <c r="S17" s="27">
        <f t="shared" si="3"/>
        <v>0</v>
      </c>
      <c r="T17" s="27">
        <f>IF((R17/H17)&gt;1,1,R17/H17)</f>
        <v>0</v>
      </c>
      <c r="U17" s="28">
        <v>1</v>
      </c>
      <c r="V17" s="28">
        <v>0</v>
      </c>
      <c r="W17" s="29">
        <f t="shared" si="5"/>
        <v>0</v>
      </c>
      <c r="X17" s="29">
        <f>IF((V17/H17)&gt;1,1,V17/H17)</f>
        <v>0</v>
      </c>
      <c r="Y17" s="20">
        <f t="shared" si="7"/>
        <v>2</v>
      </c>
      <c r="Z17" s="30">
        <f>IF((Y17/H17)&gt;1,1,Y17/H17)</f>
        <v>0.5</v>
      </c>
    </row>
    <row r="18" spans="1:28" s="4" customFormat="1" ht="30" x14ac:dyDescent="0.25">
      <c r="A18" s="85" t="s">
        <v>32</v>
      </c>
      <c r="B18" s="10" t="s">
        <v>136</v>
      </c>
      <c r="C18" s="2">
        <v>170805300</v>
      </c>
      <c r="D18" s="58" t="s">
        <v>230</v>
      </c>
      <c r="E18" s="58" t="s">
        <v>149</v>
      </c>
      <c r="F18" s="58" t="s">
        <v>150</v>
      </c>
      <c r="G18" s="2">
        <v>0</v>
      </c>
      <c r="H18" s="2">
        <v>10</v>
      </c>
      <c r="I18" s="32">
        <v>2</v>
      </c>
      <c r="J18" s="32">
        <v>0</v>
      </c>
      <c r="K18" s="23">
        <f t="shared" si="0"/>
        <v>0</v>
      </c>
      <c r="L18" s="23">
        <f t="shared" si="1"/>
        <v>0</v>
      </c>
      <c r="M18" s="34">
        <v>3</v>
      </c>
      <c r="N18" s="39">
        <v>15</v>
      </c>
      <c r="O18" s="25">
        <f>IF((N18/M18)&gt;1,1,N18/M18)</f>
        <v>1</v>
      </c>
      <c r="P18" s="25">
        <f t="shared" si="9"/>
        <v>1</v>
      </c>
      <c r="Q18" s="26">
        <v>3</v>
      </c>
      <c r="R18" s="26">
        <v>0</v>
      </c>
      <c r="S18" s="27">
        <f t="shared" si="3"/>
        <v>0</v>
      </c>
      <c r="T18" s="27">
        <f t="shared" si="4"/>
        <v>0</v>
      </c>
      <c r="U18" s="28">
        <v>2</v>
      </c>
      <c r="V18" s="28">
        <v>0</v>
      </c>
      <c r="W18" s="29">
        <f t="shared" si="5"/>
        <v>0</v>
      </c>
      <c r="X18" s="29">
        <f t="shared" si="6"/>
        <v>0</v>
      </c>
      <c r="Y18" s="20">
        <f t="shared" si="7"/>
        <v>15</v>
      </c>
      <c r="Z18" s="35">
        <f t="shared" si="8"/>
        <v>1</v>
      </c>
      <c r="AA18"/>
      <c r="AB18"/>
    </row>
    <row r="19" spans="1:28" s="4" customFormat="1" ht="45" x14ac:dyDescent="0.25">
      <c r="A19" s="85"/>
      <c r="B19" s="10" t="s">
        <v>137</v>
      </c>
      <c r="C19" s="2">
        <v>170201000</v>
      </c>
      <c r="D19" s="58" t="s">
        <v>231</v>
      </c>
      <c r="E19" s="58" t="s">
        <v>149</v>
      </c>
      <c r="F19" s="51" t="s">
        <v>171</v>
      </c>
      <c r="G19" s="2">
        <v>60</v>
      </c>
      <c r="H19" s="2">
        <v>60</v>
      </c>
      <c r="I19" s="32">
        <v>60</v>
      </c>
      <c r="J19" s="32">
        <v>60</v>
      </c>
      <c r="K19" s="23">
        <f t="shared" si="0"/>
        <v>1</v>
      </c>
      <c r="L19" s="23">
        <f t="shared" si="1"/>
        <v>1</v>
      </c>
      <c r="M19" s="34">
        <v>60</v>
      </c>
      <c r="N19" s="39">
        <v>60</v>
      </c>
      <c r="O19" s="25">
        <f t="shared" si="2"/>
        <v>1</v>
      </c>
      <c r="P19" s="25">
        <f t="shared" si="9"/>
        <v>1</v>
      </c>
      <c r="Q19" s="26">
        <v>60</v>
      </c>
      <c r="R19" s="26">
        <v>0</v>
      </c>
      <c r="S19" s="27">
        <f t="shared" si="3"/>
        <v>0</v>
      </c>
      <c r="T19" s="27">
        <f t="shared" si="4"/>
        <v>0</v>
      </c>
      <c r="U19" s="28">
        <v>60</v>
      </c>
      <c r="V19" s="28">
        <v>0</v>
      </c>
      <c r="W19" s="29">
        <f t="shared" si="5"/>
        <v>0</v>
      </c>
      <c r="X19" s="29">
        <f t="shared" si="6"/>
        <v>0</v>
      </c>
      <c r="Y19" s="20">
        <f>+N19</f>
        <v>60</v>
      </c>
      <c r="Z19" s="35">
        <f t="shared" si="8"/>
        <v>1</v>
      </c>
      <c r="AA19"/>
      <c r="AB19"/>
    </row>
    <row r="20" spans="1:28" s="4" customFormat="1" ht="45" x14ac:dyDescent="0.25">
      <c r="A20" s="85"/>
      <c r="B20" s="10" t="s">
        <v>138</v>
      </c>
      <c r="C20" s="2">
        <v>170804100</v>
      </c>
      <c r="D20" s="58" t="s">
        <v>232</v>
      </c>
      <c r="E20" s="58" t="s">
        <v>149</v>
      </c>
      <c r="F20" s="51" t="s">
        <v>171</v>
      </c>
      <c r="G20" s="2">
        <v>60</v>
      </c>
      <c r="H20" s="2">
        <v>60</v>
      </c>
      <c r="I20" s="32">
        <v>60</v>
      </c>
      <c r="J20" s="32">
        <v>7</v>
      </c>
      <c r="K20" s="52">
        <f t="shared" si="0"/>
        <v>0.11666666666666667</v>
      </c>
      <c r="L20" s="52">
        <f t="shared" si="1"/>
        <v>0.11666666666666667</v>
      </c>
      <c r="M20" s="34">
        <v>60</v>
      </c>
      <c r="N20" s="39">
        <v>60</v>
      </c>
      <c r="O20" s="53">
        <f t="shared" si="2"/>
        <v>1</v>
      </c>
      <c r="P20" s="53">
        <f t="shared" si="9"/>
        <v>1</v>
      </c>
      <c r="Q20" s="54">
        <v>60</v>
      </c>
      <c r="R20" s="54">
        <v>0</v>
      </c>
      <c r="S20" s="55">
        <f t="shared" si="3"/>
        <v>0</v>
      </c>
      <c r="T20" s="55">
        <f t="shared" si="4"/>
        <v>0</v>
      </c>
      <c r="U20" s="56">
        <v>60</v>
      </c>
      <c r="V20" s="56">
        <v>0</v>
      </c>
      <c r="W20" s="57">
        <f t="shared" si="5"/>
        <v>0</v>
      </c>
      <c r="X20" s="57">
        <f t="shared" si="6"/>
        <v>0</v>
      </c>
      <c r="Y20" s="2">
        <f>+J20+N20</f>
        <v>67</v>
      </c>
      <c r="Z20" s="35">
        <f t="shared" si="8"/>
        <v>1</v>
      </c>
      <c r="AA20"/>
      <c r="AB20"/>
    </row>
    <row r="21" spans="1:28" ht="31.5" x14ac:dyDescent="0.25">
      <c r="A21" s="85"/>
      <c r="B21" s="10" t="s">
        <v>139</v>
      </c>
      <c r="C21" s="31">
        <v>410104200</v>
      </c>
      <c r="D21" s="58" t="s">
        <v>233</v>
      </c>
      <c r="E21" s="58" t="s">
        <v>149</v>
      </c>
      <c r="F21" s="44" t="s">
        <v>171</v>
      </c>
      <c r="G21" s="31">
        <v>60</v>
      </c>
      <c r="H21" s="31">
        <v>60</v>
      </c>
      <c r="I21" s="32">
        <v>60</v>
      </c>
      <c r="J21" s="32">
        <v>60</v>
      </c>
      <c r="K21" s="52">
        <f t="shared" si="0"/>
        <v>1</v>
      </c>
      <c r="L21" s="52">
        <f t="shared" si="1"/>
        <v>1</v>
      </c>
      <c r="M21" s="34">
        <v>60</v>
      </c>
      <c r="N21" s="84">
        <v>73</v>
      </c>
      <c r="O21" s="53">
        <f>IF((N21/M21)&gt;1,1,N21/M21)</f>
        <v>1</v>
      </c>
      <c r="P21" s="53">
        <f>IF((N21/H21)&gt;1,1,N21/H21)</f>
        <v>1</v>
      </c>
      <c r="Q21" s="54">
        <v>60</v>
      </c>
      <c r="R21" s="54">
        <v>0</v>
      </c>
      <c r="S21" s="55">
        <f>IF((R21/Q21)&gt;1,1,R21/Q21)</f>
        <v>0</v>
      </c>
      <c r="T21" s="55">
        <f>IF((R21/H21)&gt;1,1,R21/H21)</f>
        <v>0</v>
      </c>
      <c r="U21" s="56">
        <v>60</v>
      </c>
      <c r="V21" s="56">
        <v>0</v>
      </c>
      <c r="W21" s="57">
        <f>IF((V21/U21)&gt;1,1,V21/U21)</f>
        <v>0</v>
      </c>
      <c r="X21" s="57">
        <f>IF((V21/H21)&gt;1,1,V21/H21)</f>
        <v>0</v>
      </c>
      <c r="Y21" s="2">
        <f>+N21</f>
        <v>73</v>
      </c>
      <c r="Z21" s="35">
        <f>IF((Y21/H21)&gt;1,1,Y21/H21)</f>
        <v>1</v>
      </c>
    </row>
    <row r="22" spans="1:28" ht="52.5" x14ac:dyDescent="0.25">
      <c r="J22" s="71" t="s">
        <v>35</v>
      </c>
      <c r="K22" s="78">
        <f>AVERAGE(K3:K21)</f>
        <v>0.47435897435897434</v>
      </c>
      <c r="L22" s="78">
        <f>AVERAGE(L3:L21)</f>
        <v>0.27520022883295198</v>
      </c>
      <c r="M22" s="72"/>
      <c r="N22" s="71" t="s">
        <v>36</v>
      </c>
      <c r="O22" s="75">
        <f>AVERAGE(O3:O21)</f>
        <v>0.89333333333333331</v>
      </c>
      <c r="P22" s="75">
        <f>AVERAGE(P3:P21)</f>
        <v>0.60993760064412228</v>
      </c>
      <c r="Q22" s="73"/>
      <c r="R22" s="63" t="s">
        <v>45</v>
      </c>
      <c r="S22" s="76">
        <f>AVERAGE(S3:S21)</f>
        <v>0</v>
      </c>
      <c r="T22" s="77">
        <f>AVERAGE(T3:T21)</f>
        <v>0</v>
      </c>
      <c r="U22" s="74"/>
      <c r="V22" s="63" t="s">
        <v>45</v>
      </c>
      <c r="W22" s="76">
        <f>AVERAGE(W3:W21)</f>
        <v>0</v>
      </c>
      <c r="X22" s="76">
        <f>AVERAGE(X3:X21)</f>
        <v>0</v>
      </c>
      <c r="Y22" s="71" t="s">
        <v>46</v>
      </c>
      <c r="Z22" s="16">
        <f>AVERAGE(Z3:Z21)</f>
        <v>0.64163234172387495</v>
      </c>
    </row>
    <row r="23" spans="1:28" x14ac:dyDescent="0.25">
      <c r="Z23" s="8"/>
    </row>
    <row r="24" spans="1:28" x14ac:dyDescent="0.25">
      <c r="L24"/>
      <c r="P24"/>
      <c r="Q24"/>
      <c r="R24"/>
      <c r="S24"/>
      <c r="T24"/>
      <c r="U24"/>
      <c r="V24"/>
      <c r="W24"/>
      <c r="X24"/>
    </row>
    <row r="26" spans="1:28" x14ac:dyDescent="0.25">
      <c r="L26" s="1"/>
      <c r="P26" s="9"/>
      <c r="Q26" s="9"/>
      <c r="R26" s="9"/>
      <c r="S26" s="9"/>
      <c r="T26" s="9"/>
      <c r="U26" s="9"/>
      <c r="V26" s="9"/>
      <c r="W26" s="9"/>
      <c r="X26" s="9"/>
    </row>
    <row r="27" spans="1:28" x14ac:dyDescent="0.25">
      <c r="L27" s="1"/>
      <c r="P27" s="9"/>
      <c r="Q27" s="9"/>
      <c r="R27" s="9"/>
      <c r="S27" s="9"/>
      <c r="T27" s="9"/>
      <c r="U27" s="9"/>
      <c r="V27" s="9"/>
      <c r="W27" s="9"/>
      <c r="X27" s="9"/>
    </row>
  </sheetData>
  <mergeCells count="6">
    <mergeCell ref="A18:A21"/>
    <mergeCell ref="A1:AC1"/>
    <mergeCell ref="AA2:AC2"/>
    <mergeCell ref="A3:A10"/>
    <mergeCell ref="A11:A14"/>
    <mergeCell ref="A15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9696-BFD2-4BE2-871D-895A82F2E687}">
  <dimension ref="A1:AE8"/>
  <sheetViews>
    <sheetView zoomScale="84" zoomScaleNormal="84" workbookViewId="0">
      <selection activeCell="E4" sqref="E4"/>
    </sheetView>
  </sheetViews>
  <sheetFormatPr baseColWidth="10" defaultColWidth="40.42578125" defaultRowHeight="58.5" customHeight="1" x14ac:dyDescent="0.25"/>
  <cols>
    <col min="1" max="1" width="63" style="15" customWidth="1"/>
    <col min="2" max="2" width="22.42578125" style="5" customWidth="1"/>
    <col min="3" max="3" width="25.5703125" style="6" customWidth="1"/>
    <col min="5" max="5" width="40.42578125" style="6"/>
    <col min="7" max="8" width="40.42578125" style="7"/>
    <col min="10" max="14" width="40.42578125" style="5"/>
    <col min="16" max="25" width="40.42578125" style="5"/>
  </cols>
  <sheetData>
    <row r="1" spans="1:31" s="15" customFormat="1" ht="58.5" customHeight="1" x14ac:dyDescent="0.25">
      <c r="A1" s="86" t="s">
        <v>16</v>
      </c>
      <c r="B1" s="86"/>
      <c r="C1" s="86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ht="58.5" customHeight="1" x14ac:dyDescent="0.25">
      <c r="A2" s="63" t="s">
        <v>15</v>
      </c>
      <c r="B2" s="64" t="s">
        <v>40</v>
      </c>
      <c r="C2" s="64" t="s">
        <v>39</v>
      </c>
      <c r="E2"/>
      <c r="G2"/>
      <c r="H2"/>
      <c r="J2"/>
      <c r="K2"/>
      <c r="L2"/>
      <c r="M2"/>
      <c r="N2"/>
      <c r="P2"/>
      <c r="Q2"/>
      <c r="R2"/>
      <c r="S2"/>
      <c r="T2"/>
      <c r="U2"/>
      <c r="V2"/>
      <c r="W2"/>
      <c r="X2"/>
      <c r="Y2"/>
    </row>
    <row r="3" spans="1:31" ht="77.25" customHeight="1" x14ac:dyDescent="0.25">
      <c r="A3" s="70" t="s">
        <v>234</v>
      </c>
      <c r="B3" s="66">
        <v>25</v>
      </c>
      <c r="C3" s="67">
        <f>'SEC. GOBIERNO'!AC4</f>
        <v>0.45652857142857139</v>
      </c>
      <c r="M3"/>
      <c r="Q3"/>
      <c r="R3"/>
      <c r="S3"/>
      <c r="T3"/>
      <c r="U3"/>
      <c r="V3"/>
      <c r="W3"/>
      <c r="X3"/>
      <c r="Y3"/>
    </row>
    <row r="4" spans="1:31" ht="77.25" customHeight="1" x14ac:dyDescent="0.25">
      <c r="A4" s="70" t="s">
        <v>235</v>
      </c>
      <c r="B4" s="66">
        <v>31</v>
      </c>
      <c r="C4" s="67">
        <f>'SEC. BIENESTAR Y DLLO SOCIAL'!AD4</f>
        <v>0.5403296347555494</v>
      </c>
    </row>
    <row r="5" spans="1:31" ht="77.25" customHeight="1" x14ac:dyDescent="0.25">
      <c r="A5" s="70" t="s">
        <v>236</v>
      </c>
      <c r="B5" s="66">
        <v>7</v>
      </c>
      <c r="C5" s="67">
        <f>'SEC. TURISMO Y DLLO ECONOMICO'!AC4</f>
        <v>0.55214285714285716</v>
      </c>
      <c r="M5" s="1"/>
      <c r="Q5" s="9"/>
      <c r="R5" s="9"/>
      <c r="S5" s="9"/>
      <c r="T5" s="9"/>
      <c r="U5" s="9"/>
      <c r="V5" s="9"/>
      <c r="W5" s="9"/>
      <c r="X5" s="9"/>
      <c r="Y5" s="9"/>
    </row>
    <row r="6" spans="1:31" ht="77.25" customHeight="1" x14ac:dyDescent="0.25">
      <c r="A6" s="70" t="s">
        <v>237</v>
      </c>
      <c r="B6" s="66">
        <v>11</v>
      </c>
      <c r="C6" s="67">
        <f>'SEC. PLANEACION Y OBRAS PUBLICA'!AC4</f>
        <v>0.42970265151515147</v>
      </c>
      <c r="M6" s="1"/>
      <c r="Q6" s="9"/>
      <c r="R6" s="9"/>
      <c r="S6" s="9"/>
      <c r="T6" s="9"/>
      <c r="U6" s="9"/>
      <c r="V6" s="9"/>
      <c r="W6" s="9"/>
      <c r="X6" s="9"/>
      <c r="Y6" s="9"/>
    </row>
    <row r="7" spans="1:31" ht="77.25" customHeight="1" x14ac:dyDescent="0.25">
      <c r="A7" s="68" t="s">
        <v>238</v>
      </c>
      <c r="B7" s="66">
        <v>19</v>
      </c>
      <c r="C7" s="67">
        <f>'SEC. MEDIO AMBIENTE Y DLLO RURA'!AC4</f>
        <v>0.64163234172387495</v>
      </c>
    </row>
    <row r="8" spans="1:31" ht="58.5" customHeight="1" x14ac:dyDescent="0.25">
      <c r="A8" s="80" t="s">
        <v>247</v>
      </c>
      <c r="B8" s="18">
        <f>SUM(B3:B7)</f>
        <v>93</v>
      </c>
      <c r="C8" s="17">
        <f>SUMPRODUCT(C3:C7,B3:B7)/SUM(B3:B7)</f>
        <v>0.52630297443609253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SEC. GOBIERNO</vt:lpstr>
      <vt:lpstr>SEC. BIENESTAR Y DLLO SOCIAL</vt:lpstr>
      <vt:lpstr>SEC. TURISMO Y DLLO ECONOMICO</vt:lpstr>
      <vt:lpstr>SEC. PLANEACION Y OBRAS PUBLICA</vt:lpstr>
      <vt:lpstr>SEC. MEDIO AMBIENTE Y DLLO RURA</vt:lpstr>
      <vt:lpstr>CONSOLIDADO AVANCE A LA FECHA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2026-02-05T13:54:55Z</dcterms:created>
  <dcterms:modified xsi:type="dcterms:W3CDTF">2026-03-04T20:51:34Z</dcterms:modified>
</cp:coreProperties>
</file>